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_analyses\2026-PROGRESA-C\srt_tree-layer\"/>
    </mc:Choice>
  </mc:AlternateContent>
  <xr:revisionPtr revIDLastSave="0" documentId="13_ncr:9_{76BC0019-E698-4138-850C-B4E3E64D97C4}" xr6:coauthVersionLast="47" xr6:coauthVersionMax="47" xr10:uidLastSave="{00000000-0000-0000-0000-000000000000}"/>
  <bookViews>
    <workbookView xWindow="22932" yWindow="-108" windowWidth="23256" windowHeight="12456" activeTab="2" xr2:uid="{A6C1889C-AE05-46AB-9B53-5212526DE8E6}"/>
  </bookViews>
  <sheets>
    <sheet name="tree_sp x veg_ty" sheetId="1" r:id="rId1"/>
    <sheet name="Tabla con arreglos" sheetId="2" r:id="rId2"/>
    <sheet name="Tabla final" sheetId="3" r:id="rId3"/>
  </sheets>
  <calcPr calcId="0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</calcChain>
</file>

<file path=xl/sharedStrings.xml><?xml version="1.0" encoding="utf-8"?>
<sst xmlns="http://schemas.openxmlformats.org/spreadsheetml/2006/main" count="217" uniqueCount="40">
  <si>
    <t>veg_ty</t>
  </si>
  <si>
    <t>sp</t>
  </si>
  <si>
    <t>ba_ha_mean</t>
  </si>
  <si>
    <t>ba_se</t>
  </si>
  <si>
    <t>E0</t>
  </si>
  <si>
    <t>Arbutus unedo</t>
  </si>
  <si>
    <t>Erica arborea</t>
  </si>
  <si>
    <t>Eucalyptus globulus</t>
  </si>
  <si>
    <t>Phyllirea latifolia</t>
  </si>
  <si>
    <t>Pinus pinea</t>
  </si>
  <si>
    <t>Quercus canariensis</t>
  </si>
  <si>
    <t>Quercus ilex</t>
  </si>
  <si>
    <t>Quercus suber</t>
  </si>
  <si>
    <t>E10</t>
  </si>
  <si>
    <t>E27</t>
  </si>
  <si>
    <t>Q</t>
  </si>
  <si>
    <r>
      <t>BA (m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ha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</si>
  <si>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t>BA (m2 ha-2)</t>
  </si>
  <si>
    <t>0.14 ± 0.08</t>
  </si>
  <si>
    <t>0 ± 0</t>
  </si>
  <si>
    <t>10.64 ± 1.19</t>
  </si>
  <si>
    <t>0.1 ± 0.1</t>
  </si>
  <si>
    <t>0.34 ± 0.34</t>
  </si>
  <si>
    <t>0.02 ± 0.02</t>
  </si>
  <si>
    <t>8.23 ± 1.64</t>
  </si>
  <si>
    <t>0.06 ± 0.06</t>
  </si>
  <si>
    <t>0.34 ± 0.24</t>
  </si>
  <si>
    <t>0.28 ± 0.13</t>
  </si>
  <si>
    <t>0.06 ± 0.04</t>
  </si>
  <si>
    <t>14.27 ± 1.84</t>
  </si>
  <si>
    <t>0.03 ± 0.03</t>
  </si>
  <si>
    <t>0.07 ± 0.05</t>
  </si>
  <si>
    <t>1.65 ± 0.55</t>
  </si>
  <si>
    <t>0.91 ± 0.91</t>
  </si>
  <si>
    <t>0.08 ± 0.08</t>
  </si>
  <si>
    <t>12.49 ± 2.66</t>
  </si>
  <si>
    <t>0.28 ± 0.20</t>
  </si>
  <si>
    <t>0.41 ± 0.20</t>
  </si>
  <si>
    <t>-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</si>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</sst>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3528-4EBA-4ACE-94AF-68B1F5E8378A}">
  <dimension ref="A1:D33"/>
  <sheetViews>
    <sheetView workbookViewId="0">
      <selection sqref="A1:D104857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0.143997535607641</v>
      </c>
      <c r="D2">
        <v>8.3758930532542894E-2</v>
      </c>
    </row>
    <row r="3" spans="1:4" x14ac:dyDescent="0.3">
      <c r="A3" t="s">
        <v>4</v>
      </c>
      <c r="B3" t="s">
        <v>6</v>
      </c>
      <c r="C3">
        <v>0</v>
      </c>
      <c r="D3">
        <v>0</v>
      </c>
    </row>
    <row r="4" spans="1:4" x14ac:dyDescent="0.3">
      <c r="A4" t="s">
        <v>4</v>
      </c>
      <c r="B4" t="s">
        <v>7</v>
      </c>
      <c r="C4">
        <v>10.640256654313101</v>
      </c>
      <c r="D4">
        <v>1.1881676639841601</v>
      </c>
    </row>
    <row r="5" spans="1:4" x14ac:dyDescent="0.3">
      <c r="A5" t="s">
        <v>4</v>
      </c>
      <c r="B5" t="s">
        <v>8</v>
      </c>
      <c r="C5">
        <v>0</v>
      </c>
      <c r="D5">
        <v>0</v>
      </c>
    </row>
    <row r="6" spans="1:4" x14ac:dyDescent="0.3">
      <c r="A6" t="s">
        <v>4</v>
      </c>
      <c r="B6" t="s">
        <v>9</v>
      </c>
      <c r="C6">
        <v>0</v>
      </c>
      <c r="D6">
        <v>0</v>
      </c>
    </row>
    <row r="7" spans="1:4" x14ac:dyDescent="0.3">
      <c r="A7" t="s">
        <v>4</v>
      </c>
      <c r="B7" t="s">
        <v>10</v>
      </c>
      <c r="C7">
        <v>0</v>
      </c>
      <c r="D7">
        <v>0</v>
      </c>
    </row>
    <row r="8" spans="1:4" x14ac:dyDescent="0.3">
      <c r="A8" t="s">
        <v>4</v>
      </c>
      <c r="B8" t="s">
        <v>11</v>
      </c>
      <c r="C8">
        <v>0</v>
      </c>
      <c r="D8">
        <v>0</v>
      </c>
    </row>
    <row r="9" spans="1:4" x14ac:dyDescent="0.3">
      <c r="A9" t="s">
        <v>4</v>
      </c>
      <c r="B9" t="s">
        <v>12</v>
      </c>
      <c r="C9">
        <v>9.6799918395692797E-2</v>
      </c>
      <c r="D9">
        <v>9.67999183956927E-2</v>
      </c>
    </row>
    <row r="10" spans="1:4" x14ac:dyDescent="0.3">
      <c r="A10" t="s">
        <v>13</v>
      </c>
      <c r="B10" t="s">
        <v>5</v>
      </c>
      <c r="C10">
        <v>0.33651221818716398</v>
      </c>
      <c r="D10">
        <v>0.33651221818716398</v>
      </c>
    </row>
    <row r="11" spans="1:4" x14ac:dyDescent="0.3">
      <c r="A11" t="s">
        <v>13</v>
      </c>
      <c r="B11" t="s">
        <v>6</v>
      </c>
      <c r="C11">
        <v>1.7578110401072499E-2</v>
      </c>
      <c r="D11">
        <v>1.7578110401072499E-2</v>
      </c>
    </row>
    <row r="12" spans="1:4" x14ac:dyDescent="0.3">
      <c r="A12" t="s">
        <v>13</v>
      </c>
      <c r="B12" t="s">
        <v>7</v>
      </c>
      <c r="C12">
        <v>8.2308969370846903</v>
      </c>
      <c r="D12">
        <v>1.63739785482341</v>
      </c>
    </row>
    <row r="13" spans="1:4" x14ac:dyDescent="0.3">
      <c r="A13" t="s">
        <v>13</v>
      </c>
      <c r="B13" t="s">
        <v>8</v>
      </c>
      <c r="C13">
        <v>0</v>
      </c>
      <c r="D13">
        <v>0</v>
      </c>
    </row>
    <row r="14" spans="1:4" x14ac:dyDescent="0.3">
      <c r="A14" t="s">
        <v>13</v>
      </c>
      <c r="B14" t="s">
        <v>9</v>
      </c>
      <c r="C14">
        <v>6.3015573414263906E-2</v>
      </c>
      <c r="D14">
        <v>6.3015573414263906E-2</v>
      </c>
    </row>
    <row r="15" spans="1:4" x14ac:dyDescent="0.3">
      <c r="A15" t="s">
        <v>13</v>
      </c>
      <c r="B15" t="s">
        <v>10</v>
      </c>
      <c r="C15">
        <v>0</v>
      </c>
      <c r="D15">
        <v>0</v>
      </c>
    </row>
    <row r="16" spans="1:4" x14ac:dyDescent="0.3">
      <c r="A16" t="s">
        <v>13</v>
      </c>
      <c r="B16" t="s">
        <v>11</v>
      </c>
      <c r="C16">
        <v>0</v>
      </c>
      <c r="D16">
        <v>0</v>
      </c>
    </row>
    <row r="17" spans="1:4" x14ac:dyDescent="0.3">
      <c r="A17" t="s">
        <v>13</v>
      </c>
      <c r="B17" t="s">
        <v>12</v>
      </c>
      <c r="C17">
        <v>0.34300674254145402</v>
      </c>
      <c r="D17">
        <v>0.23674508091000601</v>
      </c>
    </row>
    <row r="18" spans="1:4" x14ac:dyDescent="0.3">
      <c r="A18" t="s">
        <v>14</v>
      </c>
      <c r="B18" t="s">
        <v>5</v>
      </c>
      <c r="C18">
        <v>0.28100523280484702</v>
      </c>
      <c r="D18">
        <v>0.12897702679606901</v>
      </c>
    </row>
    <row r="19" spans="1:4" x14ac:dyDescent="0.3">
      <c r="A19" t="s">
        <v>14</v>
      </c>
      <c r="B19" t="s">
        <v>6</v>
      </c>
      <c r="C19">
        <v>5.6366358413035E-2</v>
      </c>
      <c r="D19">
        <v>3.8684133066605599E-2</v>
      </c>
    </row>
    <row r="20" spans="1:4" x14ac:dyDescent="0.3">
      <c r="A20" t="s">
        <v>14</v>
      </c>
      <c r="B20" t="s">
        <v>7</v>
      </c>
      <c r="C20">
        <v>14.265634820220599</v>
      </c>
      <c r="D20">
        <v>1.84160785079087</v>
      </c>
    </row>
    <row r="21" spans="1:4" x14ac:dyDescent="0.3">
      <c r="A21" t="s">
        <v>14</v>
      </c>
      <c r="B21" t="s">
        <v>8</v>
      </c>
      <c r="C21">
        <v>2.8203099437082199E-2</v>
      </c>
      <c r="D21">
        <v>2.8203099437082199E-2</v>
      </c>
    </row>
    <row r="22" spans="1:4" x14ac:dyDescent="0.3">
      <c r="A22" t="s">
        <v>14</v>
      </c>
      <c r="B22" t="s">
        <v>9</v>
      </c>
      <c r="C22">
        <v>7.3522592827580294E-2</v>
      </c>
      <c r="D22">
        <v>4.8624515681093897E-2</v>
      </c>
    </row>
    <row r="23" spans="1:4" x14ac:dyDescent="0.3">
      <c r="A23" t="s">
        <v>14</v>
      </c>
      <c r="B23" t="s">
        <v>10</v>
      </c>
      <c r="C23">
        <v>0.27851382928343399</v>
      </c>
      <c r="D23">
        <v>0.199884053325697</v>
      </c>
    </row>
    <row r="24" spans="1:4" x14ac:dyDescent="0.3">
      <c r="A24" t="s">
        <v>14</v>
      </c>
      <c r="B24" t="s">
        <v>11</v>
      </c>
      <c r="C24">
        <v>0.40601684102567598</v>
      </c>
      <c r="D24">
        <v>0.19961921783143999</v>
      </c>
    </row>
    <row r="25" spans="1:4" x14ac:dyDescent="0.3">
      <c r="A25" t="s">
        <v>14</v>
      </c>
      <c r="B25" t="s">
        <v>12</v>
      </c>
      <c r="C25">
        <v>1.64668376693864</v>
      </c>
      <c r="D25">
        <v>0.54956879938274295</v>
      </c>
    </row>
    <row r="26" spans="1:4" x14ac:dyDescent="0.3">
      <c r="A26" t="s">
        <v>15</v>
      </c>
      <c r="B26" t="s">
        <v>5</v>
      </c>
      <c r="C26">
        <v>0</v>
      </c>
      <c r="D26">
        <v>0</v>
      </c>
    </row>
    <row r="27" spans="1:4" x14ac:dyDescent="0.3">
      <c r="A27" t="s">
        <v>15</v>
      </c>
      <c r="B27" t="s">
        <v>6</v>
      </c>
      <c r="C27">
        <v>0</v>
      </c>
      <c r="D27">
        <v>0</v>
      </c>
    </row>
    <row r="28" spans="1:4" x14ac:dyDescent="0.3">
      <c r="A28" t="s">
        <v>15</v>
      </c>
      <c r="B28" t="s">
        <v>7</v>
      </c>
      <c r="C28">
        <v>0</v>
      </c>
      <c r="D28">
        <v>0</v>
      </c>
    </row>
    <row r="29" spans="1:4" x14ac:dyDescent="0.3">
      <c r="A29" t="s">
        <v>15</v>
      </c>
      <c r="B29" t="s">
        <v>8</v>
      </c>
      <c r="C29">
        <v>0</v>
      </c>
      <c r="D29">
        <v>0</v>
      </c>
    </row>
    <row r="30" spans="1:4" x14ac:dyDescent="0.3">
      <c r="A30" t="s">
        <v>15</v>
      </c>
      <c r="B30" t="s">
        <v>9</v>
      </c>
      <c r="C30">
        <v>0.911249230300053</v>
      </c>
      <c r="D30">
        <v>0.911249230300052</v>
      </c>
    </row>
    <row r="31" spans="1:4" x14ac:dyDescent="0.3">
      <c r="A31" t="s">
        <v>15</v>
      </c>
      <c r="B31" t="s">
        <v>10</v>
      </c>
      <c r="C31">
        <v>0</v>
      </c>
      <c r="D31">
        <v>0</v>
      </c>
    </row>
    <row r="32" spans="1:4" x14ac:dyDescent="0.3">
      <c r="A32" t="s">
        <v>15</v>
      </c>
      <c r="B32" t="s">
        <v>11</v>
      </c>
      <c r="C32">
        <v>7.9766340716914796E-2</v>
      </c>
      <c r="D32">
        <v>7.9766340716914796E-2</v>
      </c>
    </row>
    <row r="33" spans="1:4" x14ac:dyDescent="0.3">
      <c r="A33" t="s">
        <v>15</v>
      </c>
      <c r="B33" t="s">
        <v>12</v>
      </c>
      <c r="C33">
        <v>12.4935082067851</v>
      </c>
      <c r="D33">
        <v>2.65627573220014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43A9-9145-4013-9D47-53186419DBB7}">
  <dimension ref="A1:H33"/>
  <sheetViews>
    <sheetView workbookViewId="0">
      <selection activeCell="D30" sqref="D30"/>
    </sheetView>
  </sheetViews>
  <sheetFormatPr baseColWidth="10" defaultRowHeight="14.4" x14ac:dyDescent="0.3"/>
  <cols>
    <col min="2" max="2" width="19.109375" customWidth="1"/>
  </cols>
  <sheetData>
    <row r="1" spans="1:8" ht="16.2" x14ac:dyDescent="0.3">
      <c r="A1" t="s">
        <v>0</v>
      </c>
      <c r="B1" t="s">
        <v>1</v>
      </c>
      <c r="C1" t="s">
        <v>16</v>
      </c>
      <c r="D1" t="s">
        <v>3</v>
      </c>
      <c r="E1" t="s">
        <v>16</v>
      </c>
      <c r="F1" t="s">
        <v>3</v>
      </c>
      <c r="G1" t="s">
        <v>16</v>
      </c>
      <c r="H1" t="s">
        <v>17</v>
      </c>
    </row>
    <row r="2" spans="1:8" x14ac:dyDescent="0.3">
      <c r="A2" t="s">
        <v>4</v>
      </c>
      <c r="B2" t="s">
        <v>5</v>
      </c>
      <c r="C2">
        <v>0.143997535607641</v>
      </c>
      <c r="D2">
        <v>8.3758930532542894E-2</v>
      </c>
      <c r="E2">
        <f>+ROUND(C2,2)</f>
        <v>0.14000000000000001</v>
      </c>
      <c r="F2">
        <f>+ROUND(D2,2)</f>
        <v>0.08</v>
      </c>
      <c r="G2" t="str">
        <f>+CONCATENATE(E2, " ± ",F2)</f>
        <v>0.14 ± 0.08</v>
      </c>
      <c r="H2" t="s">
        <v>18</v>
      </c>
    </row>
    <row r="3" spans="1:8" x14ac:dyDescent="0.3">
      <c r="A3" t="s">
        <v>4</v>
      </c>
      <c r="B3" t="s">
        <v>6</v>
      </c>
      <c r="C3">
        <v>0</v>
      </c>
      <c r="D3">
        <v>0</v>
      </c>
      <c r="E3">
        <f t="shared" ref="E3:E33" si="0">+ROUND(C3,2)</f>
        <v>0</v>
      </c>
      <c r="F3">
        <f t="shared" ref="F3:F33" si="1">+ROUND(D3,2)</f>
        <v>0</v>
      </c>
      <c r="G3" t="str">
        <f t="shared" ref="G3:G33" si="2">+CONCATENATE(E3, " ± ",F3)</f>
        <v>0 ± 0</v>
      </c>
      <c r="H3" t="s">
        <v>19</v>
      </c>
    </row>
    <row r="4" spans="1:8" x14ac:dyDescent="0.3">
      <c r="A4" t="s">
        <v>4</v>
      </c>
      <c r="B4" t="s">
        <v>7</v>
      </c>
      <c r="C4">
        <v>10.640256654313101</v>
      </c>
      <c r="D4">
        <v>1.1881676639841601</v>
      </c>
      <c r="E4">
        <f t="shared" si="0"/>
        <v>10.64</v>
      </c>
      <c r="F4">
        <f t="shared" si="1"/>
        <v>1.19</v>
      </c>
      <c r="G4" t="str">
        <f t="shared" si="2"/>
        <v>10.64 ± 1.19</v>
      </c>
      <c r="H4" t="s">
        <v>20</v>
      </c>
    </row>
    <row r="5" spans="1:8" x14ac:dyDescent="0.3">
      <c r="A5" t="s">
        <v>4</v>
      </c>
      <c r="B5" t="s">
        <v>8</v>
      </c>
      <c r="C5">
        <v>0</v>
      </c>
      <c r="D5">
        <v>0</v>
      </c>
      <c r="E5">
        <f t="shared" si="0"/>
        <v>0</v>
      </c>
      <c r="F5">
        <f t="shared" si="1"/>
        <v>0</v>
      </c>
      <c r="G5" t="str">
        <f t="shared" si="2"/>
        <v>0 ± 0</v>
      </c>
      <c r="H5" t="s">
        <v>19</v>
      </c>
    </row>
    <row r="6" spans="1:8" x14ac:dyDescent="0.3">
      <c r="A6" t="s">
        <v>4</v>
      </c>
      <c r="B6" t="s">
        <v>9</v>
      </c>
      <c r="C6">
        <v>0</v>
      </c>
      <c r="D6">
        <v>0</v>
      </c>
      <c r="E6">
        <f t="shared" si="0"/>
        <v>0</v>
      </c>
      <c r="F6">
        <f t="shared" si="1"/>
        <v>0</v>
      </c>
      <c r="G6" t="str">
        <f t="shared" si="2"/>
        <v>0 ± 0</v>
      </c>
      <c r="H6" t="s">
        <v>19</v>
      </c>
    </row>
    <row r="7" spans="1:8" x14ac:dyDescent="0.3">
      <c r="A7" t="s">
        <v>4</v>
      </c>
      <c r="B7" t="s">
        <v>10</v>
      </c>
      <c r="C7">
        <v>0</v>
      </c>
      <c r="D7">
        <v>0</v>
      </c>
      <c r="E7">
        <f t="shared" si="0"/>
        <v>0</v>
      </c>
      <c r="F7">
        <f t="shared" si="1"/>
        <v>0</v>
      </c>
      <c r="G7" t="str">
        <f t="shared" si="2"/>
        <v>0 ± 0</v>
      </c>
      <c r="H7" t="s">
        <v>19</v>
      </c>
    </row>
    <row r="8" spans="1:8" x14ac:dyDescent="0.3">
      <c r="A8" t="s">
        <v>4</v>
      </c>
      <c r="B8" t="s">
        <v>11</v>
      </c>
      <c r="C8">
        <v>0</v>
      </c>
      <c r="D8">
        <v>0</v>
      </c>
      <c r="E8">
        <f t="shared" si="0"/>
        <v>0</v>
      </c>
      <c r="F8">
        <f t="shared" si="1"/>
        <v>0</v>
      </c>
      <c r="G8" t="str">
        <f t="shared" si="2"/>
        <v>0 ± 0</v>
      </c>
      <c r="H8" t="s">
        <v>19</v>
      </c>
    </row>
    <row r="9" spans="1:8" x14ac:dyDescent="0.3">
      <c r="A9" t="s">
        <v>4</v>
      </c>
      <c r="B9" t="s">
        <v>12</v>
      </c>
      <c r="C9">
        <v>9.6799918395692797E-2</v>
      </c>
      <c r="D9">
        <v>9.67999183956927E-2</v>
      </c>
      <c r="E9">
        <f t="shared" si="0"/>
        <v>0.1</v>
      </c>
      <c r="F9">
        <f t="shared" si="1"/>
        <v>0.1</v>
      </c>
      <c r="G9" t="str">
        <f t="shared" si="2"/>
        <v>0.1 ± 0.1</v>
      </c>
      <c r="H9" t="s">
        <v>21</v>
      </c>
    </row>
    <row r="10" spans="1:8" x14ac:dyDescent="0.3">
      <c r="A10" t="s">
        <v>13</v>
      </c>
      <c r="B10" t="s">
        <v>5</v>
      </c>
      <c r="C10">
        <v>0.33651221818716398</v>
      </c>
      <c r="D10">
        <v>0.33651221818716398</v>
      </c>
      <c r="E10">
        <f t="shared" si="0"/>
        <v>0.34</v>
      </c>
      <c r="F10">
        <f t="shared" si="1"/>
        <v>0.34</v>
      </c>
      <c r="G10" t="str">
        <f t="shared" si="2"/>
        <v>0.34 ± 0.34</v>
      </c>
      <c r="H10" t="s">
        <v>22</v>
      </c>
    </row>
    <row r="11" spans="1:8" x14ac:dyDescent="0.3">
      <c r="A11" t="s">
        <v>13</v>
      </c>
      <c r="B11" t="s">
        <v>6</v>
      </c>
      <c r="C11">
        <v>1.7578110401072499E-2</v>
      </c>
      <c r="D11">
        <v>1.7578110401072499E-2</v>
      </c>
      <c r="E11">
        <f t="shared" si="0"/>
        <v>0.02</v>
      </c>
      <c r="F11">
        <f t="shared" si="1"/>
        <v>0.02</v>
      </c>
      <c r="G11" t="str">
        <f t="shared" si="2"/>
        <v>0.02 ± 0.02</v>
      </c>
      <c r="H11" t="s">
        <v>23</v>
      </c>
    </row>
    <row r="12" spans="1:8" x14ac:dyDescent="0.3">
      <c r="A12" t="s">
        <v>13</v>
      </c>
      <c r="B12" t="s">
        <v>7</v>
      </c>
      <c r="C12">
        <v>8.2308969370846903</v>
      </c>
      <c r="D12">
        <v>1.63739785482341</v>
      </c>
      <c r="E12">
        <f t="shared" si="0"/>
        <v>8.23</v>
      </c>
      <c r="F12">
        <f t="shared" si="1"/>
        <v>1.64</v>
      </c>
      <c r="G12" t="str">
        <f t="shared" si="2"/>
        <v>8.23 ± 1.64</v>
      </c>
      <c r="H12" t="s">
        <v>24</v>
      </c>
    </row>
    <row r="13" spans="1:8" x14ac:dyDescent="0.3">
      <c r="A13" t="s">
        <v>13</v>
      </c>
      <c r="B13" t="s">
        <v>8</v>
      </c>
      <c r="C13">
        <v>0</v>
      </c>
      <c r="D13">
        <v>0</v>
      </c>
      <c r="E13">
        <f t="shared" si="0"/>
        <v>0</v>
      </c>
      <c r="F13">
        <f t="shared" si="1"/>
        <v>0</v>
      </c>
      <c r="G13" t="str">
        <f t="shared" si="2"/>
        <v>0 ± 0</v>
      </c>
      <c r="H13" t="s">
        <v>19</v>
      </c>
    </row>
    <row r="14" spans="1:8" x14ac:dyDescent="0.3">
      <c r="A14" t="s">
        <v>13</v>
      </c>
      <c r="B14" t="s">
        <v>9</v>
      </c>
      <c r="C14">
        <v>6.3015573414263906E-2</v>
      </c>
      <c r="D14">
        <v>6.3015573414263906E-2</v>
      </c>
      <c r="E14">
        <f t="shared" si="0"/>
        <v>0.06</v>
      </c>
      <c r="F14">
        <f t="shared" si="1"/>
        <v>0.06</v>
      </c>
      <c r="G14" t="str">
        <f t="shared" si="2"/>
        <v>0.06 ± 0.06</v>
      </c>
      <c r="H14" t="s">
        <v>25</v>
      </c>
    </row>
    <row r="15" spans="1:8" x14ac:dyDescent="0.3">
      <c r="A15" t="s">
        <v>13</v>
      </c>
      <c r="B15" t="s">
        <v>10</v>
      </c>
      <c r="C15">
        <v>0</v>
      </c>
      <c r="D15">
        <v>0</v>
      </c>
      <c r="E15">
        <f t="shared" si="0"/>
        <v>0</v>
      </c>
      <c r="F15">
        <f t="shared" si="1"/>
        <v>0</v>
      </c>
      <c r="G15" t="str">
        <f t="shared" si="2"/>
        <v>0 ± 0</v>
      </c>
      <c r="H15" t="s">
        <v>19</v>
      </c>
    </row>
    <row r="16" spans="1:8" x14ac:dyDescent="0.3">
      <c r="A16" t="s">
        <v>13</v>
      </c>
      <c r="B16" t="s">
        <v>11</v>
      </c>
      <c r="C16">
        <v>0</v>
      </c>
      <c r="D16">
        <v>0</v>
      </c>
      <c r="E16">
        <f t="shared" si="0"/>
        <v>0</v>
      </c>
      <c r="F16">
        <f t="shared" si="1"/>
        <v>0</v>
      </c>
      <c r="G16" t="str">
        <f t="shared" si="2"/>
        <v>0 ± 0</v>
      </c>
      <c r="H16" t="s">
        <v>19</v>
      </c>
    </row>
    <row r="17" spans="1:8" x14ac:dyDescent="0.3">
      <c r="A17" t="s">
        <v>13</v>
      </c>
      <c r="B17" t="s">
        <v>12</v>
      </c>
      <c r="C17">
        <v>0.34300674254145402</v>
      </c>
      <c r="D17">
        <v>0.23674508091000601</v>
      </c>
      <c r="E17">
        <f t="shared" si="0"/>
        <v>0.34</v>
      </c>
      <c r="F17">
        <f t="shared" si="1"/>
        <v>0.24</v>
      </c>
      <c r="G17" t="str">
        <f t="shared" si="2"/>
        <v>0.34 ± 0.24</v>
      </c>
      <c r="H17" t="s">
        <v>26</v>
      </c>
    </row>
    <row r="18" spans="1:8" x14ac:dyDescent="0.3">
      <c r="A18" t="s">
        <v>14</v>
      </c>
      <c r="B18" t="s">
        <v>5</v>
      </c>
      <c r="C18">
        <v>0.28100523280484702</v>
      </c>
      <c r="D18">
        <v>0.12897702679606901</v>
      </c>
      <c r="E18">
        <f t="shared" si="0"/>
        <v>0.28000000000000003</v>
      </c>
      <c r="F18">
        <f t="shared" si="1"/>
        <v>0.13</v>
      </c>
      <c r="G18" t="str">
        <f t="shared" si="2"/>
        <v>0.28 ± 0.13</v>
      </c>
      <c r="H18" t="s">
        <v>27</v>
      </c>
    </row>
    <row r="19" spans="1:8" x14ac:dyDescent="0.3">
      <c r="A19" t="s">
        <v>14</v>
      </c>
      <c r="B19" t="s">
        <v>6</v>
      </c>
      <c r="C19">
        <v>5.6366358413035E-2</v>
      </c>
      <c r="D19">
        <v>3.8684133066605599E-2</v>
      </c>
      <c r="E19">
        <f t="shared" si="0"/>
        <v>0.06</v>
      </c>
      <c r="F19">
        <f t="shared" si="1"/>
        <v>0.04</v>
      </c>
      <c r="G19" t="str">
        <f t="shared" si="2"/>
        <v>0.06 ± 0.04</v>
      </c>
      <c r="H19" t="s">
        <v>28</v>
      </c>
    </row>
    <row r="20" spans="1:8" x14ac:dyDescent="0.3">
      <c r="A20" t="s">
        <v>14</v>
      </c>
      <c r="B20" t="s">
        <v>7</v>
      </c>
      <c r="C20">
        <v>14.265634820220599</v>
      </c>
      <c r="D20">
        <v>1.84160785079087</v>
      </c>
      <c r="E20">
        <f t="shared" si="0"/>
        <v>14.27</v>
      </c>
      <c r="F20">
        <f t="shared" si="1"/>
        <v>1.84</v>
      </c>
      <c r="G20" t="str">
        <f t="shared" si="2"/>
        <v>14.27 ± 1.84</v>
      </c>
      <c r="H20" t="s">
        <v>29</v>
      </c>
    </row>
    <row r="21" spans="1:8" x14ac:dyDescent="0.3">
      <c r="A21" t="s">
        <v>14</v>
      </c>
      <c r="B21" t="s">
        <v>8</v>
      </c>
      <c r="C21">
        <v>2.8203099437082199E-2</v>
      </c>
      <c r="D21">
        <v>2.8203099437082199E-2</v>
      </c>
      <c r="E21">
        <f t="shared" si="0"/>
        <v>0.03</v>
      </c>
      <c r="F21">
        <f t="shared" si="1"/>
        <v>0.03</v>
      </c>
      <c r="G21" t="str">
        <f t="shared" si="2"/>
        <v>0.03 ± 0.03</v>
      </c>
      <c r="H21" t="s">
        <v>30</v>
      </c>
    </row>
    <row r="22" spans="1:8" x14ac:dyDescent="0.3">
      <c r="A22" t="s">
        <v>14</v>
      </c>
      <c r="B22" t="s">
        <v>9</v>
      </c>
      <c r="C22">
        <v>7.3522592827580294E-2</v>
      </c>
      <c r="D22">
        <v>4.8624515681093897E-2</v>
      </c>
      <c r="E22">
        <f t="shared" si="0"/>
        <v>7.0000000000000007E-2</v>
      </c>
      <c r="F22">
        <f t="shared" si="1"/>
        <v>0.05</v>
      </c>
      <c r="G22" t="str">
        <f t="shared" si="2"/>
        <v>0.07 ± 0.05</v>
      </c>
      <c r="H22" t="s">
        <v>31</v>
      </c>
    </row>
    <row r="23" spans="1:8" x14ac:dyDescent="0.3">
      <c r="A23" t="s">
        <v>14</v>
      </c>
      <c r="B23" t="s">
        <v>10</v>
      </c>
      <c r="C23">
        <v>0.27851382928343399</v>
      </c>
      <c r="D23">
        <v>0.199884053325697</v>
      </c>
      <c r="E23">
        <f t="shared" si="0"/>
        <v>0.28000000000000003</v>
      </c>
      <c r="F23">
        <f t="shared" si="1"/>
        <v>0.2</v>
      </c>
      <c r="G23" t="str">
        <f t="shared" si="2"/>
        <v>0.28 ± 0.2</v>
      </c>
      <c r="H23" t="s">
        <v>36</v>
      </c>
    </row>
    <row r="24" spans="1:8" x14ac:dyDescent="0.3">
      <c r="A24" t="s">
        <v>14</v>
      </c>
      <c r="B24" t="s">
        <v>11</v>
      </c>
      <c r="C24">
        <v>0.40601684102567598</v>
      </c>
      <c r="D24">
        <v>0.19961921783143999</v>
      </c>
      <c r="E24">
        <f t="shared" si="0"/>
        <v>0.41</v>
      </c>
      <c r="F24">
        <f t="shared" si="1"/>
        <v>0.2</v>
      </c>
      <c r="G24" t="str">
        <f t="shared" si="2"/>
        <v>0.41 ± 0.2</v>
      </c>
      <c r="H24" t="s">
        <v>37</v>
      </c>
    </row>
    <row r="25" spans="1:8" x14ac:dyDescent="0.3">
      <c r="A25" t="s">
        <v>14</v>
      </c>
      <c r="B25" t="s">
        <v>12</v>
      </c>
      <c r="C25">
        <v>1.64668376693864</v>
      </c>
      <c r="D25">
        <v>0.54956879938274295</v>
      </c>
      <c r="E25">
        <f t="shared" si="0"/>
        <v>1.65</v>
      </c>
      <c r="F25">
        <f t="shared" si="1"/>
        <v>0.55000000000000004</v>
      </c>
      <c r="G25" t="str">
        <f t="shared" si="2"/>
        <v>1.65 ± 0.55</v>
      </c>
      <c r="H25" t="s">
        <v>32</v>
      </c>
    </row>
    <row r="26" spans="1:8" x14ac:dyDescent="0.3">
      <c r="A26" t="s">
        <v>15</v>
      </c>
      <c r="B26" t="s">
        <v>5</v>
      </c>
      <c r="C26">
        <v>0</v>
      </c>
      <c r="D26">
        <v>0</v>
      </c>
      <c r="E26">
        <f t="shared" si="0"/>
        <v>0</v>
      </c>
      <c r="F26">
        <f t="shared" si="1"/>
        <v>0</v>
      </c>
      <c r="G26" t="str">
        <f t="shared" si="2"/>
        <v>0 ± 0</v>
      </c>
      <c r="H26" t="s">
        <v>19</v>
      </c>
    </row>
    <row r="27" spans="1:8" x14ac:dyDescent="0.3">
      <c r="A27" t="s">
        <v>15</v>
      </c>
      <c r="B27" t="s">
        <v>6</v>
      </c>
      <c r="C27">
        <v>0</v>
      </c>
      <c r="D27">
        <v>0</v>
      </c>
      <c r="E27">
        <f t="shared" si="0"/>
        <v>0</v>
      </c>
      <c r="F27">
        <f t="shared" si="1"/>
        <v>0</v>
      </c>
      <c r="G27" t="str">
        <f t="shared" si="2"/>
        <v>0 ± 0</v>
      </c>
      <c r="H27" t="s">
        <v>19</v>
      </c>
    </row>
    <row r="28" spans="1:8" x14ac:dyDescent="0.3">
      <c r="A28" t="s">
        <v>15</v>
      </c>
      <c r="B28" t="s">
        <v>7</v>
      </c>
      <c r="C28">
        <v>0</v>
      </c>
      <c r="D28">
        <v>0</v>
      </c>
      <c r="E28">
        <f t="shared" si="0"/>
        <v>0</v>
      </c>
      <c r="F28">
        <f t="shared" si="1"/>
        <v>0</v>
      </c>
      <c r="G28" t="str">
        <f t="shared" si="2"/>
        <v>0 ± 0</v>
      </c>
      <c r="H28" t="s">
        <v>19</v>
      </c>
    </row>
    <row r="29" spans="1:8" x14ac:dyDescent="0.3">
      <c r="A29" t="s">
        <v>15</v>
      </c>
      <c r="B29" t="s">
        <v>8</v>
      </c>
      <c r="C29">
        <v>0</v>
      </c>
      <c r="D29">
        <v>0</v>
      </c>
      <c r="E29">
        <f t="shared" si="0"/>
        <v>0</v>
      </c>
      <c r="F29">
        <f t="shared" si="1"/>
        <v>0</v>
      </c>
      <c r="G29" t="str">
        <f t="shared" si="2"/>
        <v>0 ± 0</v>
      </c>
      <c r="H29" t="s">
        <v>19</v>
      </c>
    </row>
    <row r="30" spans="1:8" x14ac:dyDescent="0.3">
      <c r="A30" t="s">
        <v>15</v>
      </c>
      <c r="B30" t="s">
        <v>9</v>
      </c>
      <c r="C30">
        <v>0.911249230300053</v>
      </c>
      <c r="D30">
        <v>0.911249230300052</v>
      </c>
      <c r="E30">
        <f t="shared" si="0"/>
        <v>0.91</v>
      </c>
      <c r="F30">
        <f t="shared" si="1"/>
        <v>0.91</v>
      </c>
      <c r="G30" t="str">
        <f t="shared" si="2"/>
        <v>0.91 ± 0.91</v>
      </c>
      <c r="H30" t="s">
        <v>33</v>
      </c>
    </row>
    <row r="31" spans="1:8" x14ac:dyDescent="0.3">
      <c r="A31" t="s">
        <v>15</v>
      </c>
      <c r="B31" t="s">
        <v>10</v>
      </c>
      <c r="C31">
        <v>0</v>
      </c>
      <c r="D31">
        <v>0</v>
      </c>
      <c r="E31">
        <f t="shared" si="0"/>
        <v>0</v>
      </c>
      <c r="F31">
        <f t="shared" si="1"/>
        <v>0</v>
      </c>
      <c r="G31" t="str">
        <f t="shared" si="2"/>
        <v>0 ± 0</v>
      </c>
      <c r="H31" t="s">
        <v>19</v>
      </c>
    </row>
    <row r="32" spans="1:8" x14ac:dyDescent="0.3">
      <c r="A32" t="s">
        <v>15</v>
      </c>
      <c r="B32" t="s">
        <v>11</v>
      </c>
      <c r="C32">
        <v>7.9766340716914796E-2</v>
      </c>
      <c r="D32">
        <v>7.9766340716914796E-2</v>
      </c>
      <c r="E32">
        <f t="shared" si="0"/>
        <v>0.08</v>
      </c>
      <c r="F32">
        <f t="shared" si="1"/>
        <v>0.08</v>
      </c>
      <c r="G32" t="str">
        <f t="shared" si="2"/>
        <v>0.08 ± 0.08</v>
      </c>
      <c r="H32" t="s">
        <v>34</v>
      </c>
    </row>
    <row r="33" spans="1:8" x14ac:dyDescent="0.3">
      <c r="A33" t="s">
        <v>15</v>
      </c>
      <c r="B33" t="s">
        <v>12</v>
      </c>
      <c r="C33">
        <v>12.4935082067851</v>
      </c>
      <c r="D33">
        <v>2.65627573220014</v>
      </c>
      <c r="E33">
        <f t="shared" si="0"/>
        <v>12.49</v>
      </c>
      <c r="F33">
        <f t="shared" si="1"/>
        <v>2.66</v>
      </c>
      <c r="G33" t="str">
        <f t="shared" si="2"/>
        <v>12.49 ± 2.66</v>
      </c>
      <c r="H33" t="s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F785-3447-429C-B807-B0E5E8D15D5D}">
  <dimension ref="A1:E9"/>
  <sheetViews>
    <sheetView tabSelected="1" workbookViewId="0">
      <selection activeCell="A9" sqref="A9"/>
    </sheetView>
  </sheetViews>
  <sheetFormatPr baseColWidth="10" defaultRowHeight="14.4" x14ac:dyDescent="0.3"/>
  <cols>
    <col min="1" max="1" width="19.109375" customWidth="1"/>
  </cols>
  <sheetData>
    <row r="1" spans="1:5" x14ac:dyDescent="0.3">
      <c r="A1" t="s">
        <v>39</v>
      </c>
      <c r="B1" t="s">
        <v>4</v>
      </c>
      <c r="C1" t="s">
        <v>13</v>
      </c>
      <c r="D1" t="s">
        <v>14</v>
      </c>
      <c r="E1" t="s">
        <v>15</v>
      </c>
    </row>
    <row r="2" spans="1:5" x14ac:dyDescent="0.3">
      <c r="A2" s="3" t="s">
        <v>5</v>
      </c>
      <c r="B2" s="1" t="s">
        <v>18</v>
      </c>
      <c r="C2" s="1" t="s">
        <v>22</v>
      </c>
      <c r="D2" s="1" t="s">
        <v>27</v>
      </c>
      <c r="E2" s="1" t="s">
        <v>38</v>
      </c>
    </row>
    <row r="3" spans="1:5" x14ac:dyDescent="0.3">
      <c r="A3" s="3" t="s">
        <v>6</v>
      </c>
      <c r="B3" s="1" t="s">
        <v>38</v>
      </c>
      <c r="C3" s="1" t="s">
        <v>23</v>
      </c>
      <c r="D3" s="1" t="s">
        <v>28</v>
      </c>
      <c r="E3" s="1" t="s">
        <v>38</v>
      </c>
    </row>
    <row r="4" spans="1:5" x14ac:dyDescent="0.3">
      <c r="A4" s="3" t="s">
        <v>7</v>
      </c>
      <c r="B4" s="2" t="s">
        <v>20</v>
      </c>
      <c r="C4" s="2" t="s">
        <v>24</v>
      </c>
      <c r="D4" s="2" t="s">
        <v>29</v>
      </c>
      <c r="E4" s="1" t="s">
        <v>38</v>
      </c>
    </row>
    <row r="5" spans="1:5" x14ac:dyDescent="0.3">
      <c r="A5" s="3" t="s">
        <v>8</v>
      </c>
      <c r="B5" s="1" t="s">
        <v>38</v>
      </c>
      <c r="C5" s="1" t="s">
        <v>38</v>
      </c>
      <c r="D5" s="1" t="s">
        <v>30</v>
      </c>
      <c r="E5" s="1" t="s">
        <v>38</v>
      </c>
    </row>
    <row r="6" spans="1:5" x14ac:dyDescent="0.3">
      <c r="A6" s="3" t="s">
        <v>9</v>
      </c>
      <c r="B6" s="1" t="s">
        <v>38</v>
      </c>
      <c r="C6" s="1" t="s">
        <v>25</v>
      </c>
      <c r="D6" s="1" t="s">
        <v>31</v>
      </c>
      <c r="E6" s="1" t="s">
        <v>33</v>
      </c>
    </row>
    <row r="7" spans="1:5" x14ac:dyDescent="0.3">
      <c r="A7" s="3" t="s">
        <v>10</v>
      </c>
      <c r="B7" s="1" t="s">
        <v>38</v>
      </c>
      <c r="C7" s="1" t="s">
        <v>38</v>
      </c>
      <c r="D7" s="1" t="s">
        <v>36</v>
      </c>
      <c r="E7" s="1" t="s">
        <v>38</v>
      </c>
    </row>
    <row r="8" spans="1:5" x14ac:dyDescent="0.3">
      <c r="A8" s="3" t="s">
        <v>11</v>
      </c>
      <c r="B8" s="1" t="s">
        <v>38</v>
      </c>
      <c r="C8" s="1" t="s">
        <v>38</v>
      </c>
      <c r="D8" s="1" t="s">
        <v>37</v>
      </c>
      <c r="E8" s="1" t="s">
        <v>34</v>
      </c>
    </row>
    <row r="9" spans="1:5" x14ac:dyDescent="0.3">
      <c r="A9" s="3" t="s">
        <v>12</v>
      </c>
      <c r="B9" s="1" t="s">
        <v>21</v>
      </c>
      <c r="C9" s="1" t="s">
        <v>26</v>
      </c>
      <c r="D9" s="1" t="s">
        <v>32</v>
      </c>
      <c r="E9" s="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tree_sp x veg_ty</vt:lpstr>
      <vt:lpstr>Tabla con arreglos</vt:lpstr>
      <vt:lpstr>Tabla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Castro Díez M. Pilar</cp:lastModifiedBy>
  <dcterms:created xsi:type="dcterms:W3CDTF">2026-06-15T09:12:07Z</dcterms:created>
  <dcterms:modified xsi:type="dcterms:W3CDTF">2026-06-15T12:42:19Z</dcterms:modified>
</cp:coreProperties>
</file>
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_analyses\2026-PROGRESA-C\srt_tree-layer\"/>
    </mc:Choice>
  </mc:AlternateContent>
  <xr:revisionPtr revIDLastSave="0" documentId="13_ncr:1_{C452060B-613A-4863-8EFD-802B554E854F}" xr6:coauthVersionLast="47" xr6:coauthVersionMax="47" xr10:uidLastSave="{00000000-0000-0000-0000-000000000000}"/>
  <bookViews>
    <workbookView xWindow="540" yWindow="360" windowWidth="22020" windowHeight="11604" firstSheet="1" activeTab="2" xr2:uid="{00000000-000D-0000-FFFF-FFFF00000000}"/>
  </bookViews>
  <sheets>
    <sheet name="result_str_treelayer" sheetId="1" r:id="rId1"/>
    <sheet name="Transformaciones" sheetId="2" r:id="rId2"/>
    <sheet name="Tabla" sheetId="3" r:id="rId3"/>
    <sheet name="Tabla_EuGl" sheetId="12" r:id="rId4"/>
    <sheet name="Basal area" sheetId="4" r:id="rId5"/>
    <sheet name="Tree density" sheetId="5" r:id="rId6"/>
    <sheet name="ProprorEg" sheetId="6" r:id="rId7"/>
    <sheet name="DBH" sheetId="7" r:id="rId8"/>
    <sheet name="Richness" sheetId="10" r:id="rId9"/>
    <sheet name="Shannon" sheetId="11" r:id="rId10"/>
    <sheet name="tree_heigh" sheetId="8" r:id="rId11"/>
    <sheet name="health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2" l="1"/>
  <c r="K11" i="12"/>
  <c r="J11" i="12"/>
  <c r="I11" i="12"/>
  <c r="H11" i="12"/>
  <c r="G11" i="12"/>
  <c r="F11" i="12"/>
  <c r="E11" i="12"/>
  <c r="D11" i="12"/>
  <c r="C11" i="12"/>
  <c r="B11" i="12"/>
  <c r="K10" i="12"/>
  <c r="J10" i="12"/>
  <c r="I10" i="12"/>
  <c r="H10" i="12"/>
  <c r="G10" i="12"/>
  <c r="F10" i="12"/>
  <c r="E10" i="12"/>
  <c r="D10" i="12"/>
  <c r="C10" i="12"/>
  <c r="B10" i="12"/>
  <c r="K9" i="12"/>
  <c r="J9" i="12"/>
  <c r="I9" i="12"/>
  <c r="H9" i="12"/>
  <c r="G9" i="12"/>
  <c r="F9" i="12"/>
  <c r="E9" i="12"/>
  <c r="D9" i="12"/>
  <c r="C9" i="12"/>
  <c r="I16" i="2"/>
  <c r="J16" i="2"/>
  <c r="J23" i="2" s="1"/>
  <c r="K16" i="2"/>
  <c r="I17" i="2"/>
  <c r="J17" i="2"/>
  <c r="J24" i="2" s="1"/>
  <c r="K17" i="2"/>
  <c r="I18" i="2"/>
  <c r="J18" i="2"/>
  <c r="J25" i="2" s="1"/>
  <c r="K18" i="2"/>
  <c r="I19" i="2"/>
  <c r="J19" i="2"/>
  <c r="J26" i="2" s="1"/>
  <c r="K19" i="2"/>
  <c r="H19" i="2"/>
  <c r="H26" i="2" s="1"/>
  <c r="H18" i="2"/>
  <c r="H25" i="2" s="1"/>
  <c r="H17" i="2"/>
  <c r="H24" i="2" s="1"/>
  <c r="H16" i="2"/>
  <c r="H23" i="2" s="1"/>
  <c r="F16" i="12" l="1"/>
  <c r="J16" i="12"/>
  <c r="D17" i="12"/>
  <c r="H17" i="12"/>
  <c r="B18" i="12"/>
  <c r="F18" i="12"/>
  <c r="J18" i="12"/>
  <c r="D16" i="12"/>
  <c r="H16" i="12"/>
  <c r="B17" i="12"/>
  <c r="F17" i="12"/>
  <c r="J17" i="12"/>
  <c r="D18" i="12"/>
  <c r="H18" i="12"/>
  <c r="B16" i="12"/>
  <c r="G17" i="2"/>
  <c r="G18" i="2"/>
  <c r="G16" i="2"/>
  <c r="F17" i="2"/>
  <c r="F18" i="2"/>
  <c r="F19" i="2"/>
  <c r="F16" i="2"/>
  <c r="F23" i="2" s="1"/>
  <c r="E16" i="2"/>
  <c r="E17" i="2"/>
  <c r="E18" i="2"/>
  <c r="E19" i="2"/>
  <c r="D17" i="2"/>
  <c r="D18" i="2"/>
  <c r="D19" i="2"/>
  <c r="D16" i="2"/>
  <c r="C16" i="2"/>
  <c r="L16" i="2"/>
  <c r="M16" i="2"/>
  <c r="N16" i="2"/>
  <c r="O16" i="2"/>
  <c r="P16" i="2"/>
  <c r="Q16" i="2"/>
  <c r="C17" i="2"/>
  <c r="L17" i="2"/>
  <c r="M17" i="2"/>
  <c r="N17" i="2"/>
  <c r="O17" i="2"/>
  <c r="P17" i="2"/>
  <c r="Q17" i="2"/>
  <c r="C18" i="2"/>
  <c r="L18" i="2"/>
  <c r="M18" i="2"/>
  <c r="N18" i="2"/>
  <c r="O18" i="2"/>
  <c r="P18" i="2"/>
  <c r="Q18" i="2"/>
  <c r="C19" i="2"/>
  <c r="G19" i="2"/>
  <c r="L19" i="2"/>
  <c r="M19" i="2"/>
  <c r="N19" i="2"/>
  <c r="O19" i="2"/>
  <c r="P19" i="2"/>
  <c r="Q19" i="2"/>
  <c r="B17" i="2"/>
  <c r="B18" i="2"/>
  <c r="B19" i="2"/>
  <c r="B16" i="2"/>
  <c r="D26" i="2" l="1"/>
  <c r="D25" i="2"/>
  <c r="F25" i="2"/>
  <c r="L25" i="2"/>
  <c r="L24" i="2"/>
  <c r="D23" i="2"/>
  <c r="B24" i="2"/>
  <c r="P23" i="2"/>
  <c r="D24" i="2"/>
  <c r="P25" i="2"/>
  <c r="B26" i="2"/>
  <c r="F24" i="2"/>
  <c r="P24" i="2"/>
  <c r="F26" i="2"/>
  <c r="P26" i="2"/>
  <c r="N23" i="2"/>
  <c r="N24" i="2"/>
  <c r="N26" i="2"/>
  <c r="N25" i="2"/>
  <c r="L23" i="2"/>
  <c r="L26" i="2"/>
  <c r="B23" i="2"/>
  <c r="B25" i="2"/>
</calcChain>
</file>

<file path=xl/sharedStrings.xml><?xml version="1.0" encoding="utf-8"?>
<sst xmlns="http://schemas.openxmlformats.org/spreadsheetml/2006/main" count="544" uniqueCount="335">
  <si>
    <t>veg_ty</t>
  </si>
  <si>
    <t>se_ba</t>
  </si>
  <si>
    <t>mean_density</t>
  </si>
  <si>
    <t>se_density</t>
  </si>
  <si>
    <t>mean_prop_eg</t>
  </si>
  <si>
    <t>se_prop_eg</t>
  </si>
  <si>
    <t>n_plots</t>
  </si>
  <si>
    <t>d_media</t>
  </si>
  <si>
    <t>d_se</t>
  </si>
  <si>
    <t>h_media</t>
  </si>
  <si>
    <t>h_se</t>
  </si>
  <si>
    <t>health_media</t>
  </si>
  <si>
    <t>health_se</t>
  </si>
  <si>
    <t>E0</t>
  </si>
  <si>
    <t>E10</t>
  </si>
  <si>
    <t>E27</t>
  </si>
  <si>
    <t>Q</t>
  </si>
  <si>
    <t>basal area (m2 ha-1)</t>
  </si>
  <si>
    <t xml:space="preserve"> Tree density (ha-1)</t>
  </si>
  <si>
    <t>E. globulus proportion</t>
  </si>
  <si>
    <t>DBH (cm)</t>
  </si>
  <si>
    <t>tree heigh (m)</t>
  </si>
  <si>
    <t>Health index</t>
  </si>
  <si>
    <t>E. globulus proportion (%)</t>
  </si>
  <si>
    <t>ba_ha_mean</t>
  </si>
  <si>
    <t>Basal area</t>
  </si>
  <si>
    <t>F(p)</t>
  </si>
  <si>
    <t>Tree density</t>
  </si>
  <si>
    <t>---</t>
  </si>
  <si>
    <t>Signif. codes:  0 ‘***’ 0.001 ‘**’ 0.01 ‘*’ 0.05 ‘.’ 0.1 ‘ ’ 1</t>
  </si>
  <si>
    <t>Chi-sq(p)</t>
  </si>
  <si>
    <t xml:space="preserve">m_gamma_disp &lt;- glmmTMB(h ~ veg_ty + (1 | plot), </t>
  </si>
  <si>
    <t xml:space="preserve">                        dispformula = ~ veg_ty, </t>
  </si>
  <si>
    <t xml:space="preserve">                        data = tree, </t>
  </si>
  <si>
    <t xml:space="preserve">                        family = Gamma(link = "log"))</t>
  </si>
  <si>
    <t>modelo con distribución gamma que permite distinta varianza entre tipos de bosque</t>
  </si>
  <si>
    <t>&gt; Anova(m_gamma_disp, type = "III") #ojo, Anova con A mayúscula</t>
  </si>
  <si>
    <t>Analysis of Deviance Table (Type III Wald chisquare tests)</t>
  </si>
  <si>
    <t>Response: h</t>
  </si>
  <si>
    <t xml:space="preserve">               Chisq Df Pr(&gt;Chisq)    </t>
  </si>
  <si>
    <t>(Intercept) 1113.039  1  &lt; 2.2e-16 ***</t>
  </si>
  <si>
    <t>veg_ty        36.157  3  6.937e-08 ***</t>
  </si>
  <si>
    <t>36.16***</t>
  </si>
  <si>
    <t xml:space="preserve"> contrast  ratio    SE  df null z.ratio p.value</t>
  </si>
  <si>
    <t xml:space="preserve"> E0 / E10  1.471 0.169 Inf    1   3.366  0.0042</t>
  </si>
  <si>
    <t xml:space="preserve"> E0 / E27  1.239 0.146 Inf    1   1.822  0.2627</t>
  </si>
  <si>
    <t xml:space="preserve"> E0 / Q    1.966 0.228 Inf    1   5.839  &lt;.0001</t>
  </si>
  <si>
    <t xml:space="preserve"> E10 / E27 0.843 0.101 Inf    1  -1.428  0.4818</t>
  </si>
  <si>
    <t xml:space="preserve"> E10 / Q   1.337 0.158 Inf    1   2.462  0.0660</t>
  </si>
  <si>
    <t xml:space="preserve"> E27 / Q   1.587 0.192 Inf    1   3.816  0.0008</t>
  </si>
  <si>
    <t>post_hoc$emmeans</t>
  </si>
  <si>
    <t>&gt; post_hoc$contrasts</t>
  </si>
  <si>
    <t>modelo gamman con distinta homogeneidad por tipos de vegetación</t>
  </si>
  <si>
    <t>DBH (gamma model)</t>
  </si>
  <si>
    <t>Response: d</t>
  </si>
  <si>
    <t xml:space="preserve">m_dbh_disp &lt;- glmmTMB(d ~ veg_ty + (1 | plot), </t>
  </si>
  <si>
    <t xml:space="preserve">+                       dispformula = ~ veg_ty, </t>
  </si>
  <si>
    <t xml:space="preserve">+                       data = tree, </t>
  </si>
  <si>
    <t>+                       family = Gamma(link = "log"))</t>
  </si>
  <si>
    <t>30.19***</t>
  </si>
  <si>
    <t>m_health_ord &lt;- clmm(health_ord ~ veg_ty + (1 | plot), data = tree)</t>
  </si>
  <si>
    <t>&gt; summary(m_health_ord)</t>
  </si>
  <si>
    <t>Cumulative Link Mixed Model fitted with the Laplace approximation</t>
  </si>
  <si>
    <t>formula: health_ord ~ veg_ty + (1 | plot)</t>
  </si>
  <si>
    <t>data:    tree</t>
  </si>
  <si>
    <t xml:space="preserve"> link  threshold nobs logLik  AIC     niter     max.grad cond.H </t>
  </si>
  <si>
    <t xml:space="preserve"> logit flexible  501  -537.40 1088.80 322(1484) 1.01e-04 4.6e+02</t>
  </si>
  <si>
    <t>Random effects:</t>
  </si>
  <si>
    <t xml:space="preserve"> Groups Name        Variance Std.Dev.</t>
  </si>
  <si>
    <t xml:space="preserve"> plot   (Intercept) 1.745    1.321   </t>
  </si>
  <si>
    <t xml:space="preserve">Number of groups:  plot 32 </t>
  </si>
  <si>
    <t>Coefficients:</t>
  </si>
  <si>
    <t xml:space="preserve">          Estimate Std. Error z value Pr(&gt;|z|)   </t>
  </si>
  <si>
    <t xml:space="preserve">veg_tyE10  -1.5724     0.7636  -2.059  0.03947 * </t>
  </si>
  <si>
    <t>veg_tyE27  -2.4919     0.7584  -3.286  0.00102 **</t>
  </si>
  <si>
    <t xml:space="preserve">veg_tyQ    -0.3275     0.8037  -0.407  0.68368   </t>
  </si>
  <si>
    <t>Threshold coefficients:</t>
  </si>
  <si>
    <t xml:space="preserve">    Estimate Std. Error z value</t>
  </si>
  <si>
    <t>0|1  -3.8831     0.5973  -6.501</t>
  </si>
  <si>
    <t>1|2  -2.7984     0.5848  -4.785</t>
  </si>
  <si>
    <t>2|3  -1.6300     0.5755  -2.832</t>
  </si>
  <si>
    <t>(1 observation deleted due to missingness)</t>
  </si>
  <si>
    <t>&gt; Anova(m_health_ord)</t>
  </si>
  <si>
    <t>Analysis of Deviance Table (Type II tests)</t>
  </si>
  <si>
    <t>Response: health_ord</t>
  </si>
  <si>
    <t xml:space="preserve">       Df  Chisq Pr(&gt;Chisq)   </t>
  </si>
  <si>
    <t>veg_ty  3 13.727   0.003301 **</t>
  </si>
  <si>
    <t>13.73**</t>
  </si>
  <si>
    <t>ordinal</t>
  </si>
  <si>
    <t>mean_richness</t>
  </si>
  <si>
    <t>se_richness</t>
  </si>
  <si>
    <t>mean_shannon</t>
  </si>
  <si>
    <t>se_shannon</t>
  </si>
  <si>
    <t>Tree sp richness</t>
  </si>
  <si>
    <t>Tree sp Shannon</t>
  </si>
  <si>
    <t>14.45 ± 1.07 c</t>
  </si>
  <si>
    <t>10.02 ± 0.87 ab</t>
  </si>
  <si>
    <t>11.41 ± 0.96 bc</t>
  </si>
  <si>
    <t>7.48 ± 0.83 a</t>
  </si>
  <si>
    <t>-</t>
  </si>
  <si>
    <t>modelo lineal</t>
  </si>
  <si>
    <t>modelo gls</t>
  </si>
  <si>
    <t>mod_ba_lm&lt;-gls(ba_ha ~ veg_ty, data=datos_plot) # library(nlme)</t>
  </si>
  <si>
    <t xml:space="preserve">mod_ba_gls &lt;- gls(ba_ha ~ veg_ty, data = datos_plot, </t>
  </si>
  <si>
    <t xml:space="preserve">               weights = varIdent(form = ~ 1 | veg_ty))</t>
  </si>
  <si>
    <t>&gt; anova(mod_ba_lm, mod_ba_gls) # gls menor AIC (pero mayor BIC), y ambos difieren P=0.0495</t>
  </si>
  <si>
    <t xml:space="preserve">           Model df      AIC      BIC    logLik   Test  L.Ratio p-value</t>
  </si>
  <si>
    <t xml:space="preserve">mod_ba_lm      1  5 199.3149 205.9759 -94.65743                        </t>
  </si>
  <si>
    <t>mod_ba_gls     2  8 197.4781 208.1358 -90.73908 1 vs 2 7.836708  0.0495</t>
  </si>
  <si>
    <t>Los modelos difieren, me quedo con el segundo</t>
  </si>
  <si>
    <t>&gt; anova(mod_ba_gls)</t>
  </si>
  <si>
    <t xml:space="preserve">Denom. DF: 28 </t>
  </si>
  <si>
    <t xml:space="preserve">            numDF   F-value p-value</t>
  </si>
  <si>
    <t>(Intercept)     1 217.65549  &lt;.0001</t>
  </si>
  <si>
    <t>veg_ty          3   4.56336    0.01</t>
  </si>
  <si>
    <t>&gt; emmeans(mod_ba_gls, pairwise ~ veg_ty, adjust = "Tukey") #posthoc</t>
  </si>
  <si>
    <t>$emmeans</t>
  </si>
  <si>
    <t xml:space="preserve"> veg_ty emmean   SE   df lower.CL upper.CL</t>
  </si>
  <si>
    <t xml:space="preserve"> E0      10.88 1.29 6.97     7.83     13.9</t>
  </si>
  <si>
    <t xml:space="preserve"> E10      8.99 1.89 6.99     4.51     13.5</t>
  </si>
  <si>
    <t xml:space="preserve"> E27     17.04 1.55 7.00    13.38     20.7</t>
  </si>
  <si>
    <t xml:space="preserve"> Q       13.48 3.34 7.00     5.59     21.4</t>
  </si>
  <si>
    <t xml:space="preserve">Degrees-of-freedom method: satterthwaite </t>
  </si>
  <si>
    <t xml:space="preserve">Confidence level used: 0.95 </t>
  </si>
  <si>
    <t>$contrasts</t>
  </si>
  <si>
    <t xml:space="preserve"> contrast  estimate   SE    df t.ratio p.value</t>
  </si>
  <si>
    <t xml:space="preserve"> E0 - E10      1.89 2.29 12.34   0.825  0.8415</t>
  </si>
  <si>
    <t xml:space="preserve"> E0 - E27     -6.15 2.01 13.56  -3.056  0.0389</t>
  </si>
  <si>
    <t xml:space="preserve"> E0 - Q       -2.60 3.58  9.04  -0.727  0.8837</t>
  </si>
  <si>
    <t xml:space="preserve"> E10 - E27    -8.04 2.45 13.44  -3.290  0.0255</t>
  </si>
  <si>
    <t xml:space="preserve"> E10 - Q      -4.49 3.84 11.08  -1.171  0.6562</t>
  </si>
  <si>
    <t xml:space="preserve"> E27 - Q       3.55 3.68  9.87   0.965  0.7717</t>
  </si>
  <si>
    <t>10.88 ± 1.29 a</t>
  </si>
  <si>
    <t>8.99 ± 1.89 a</t>
  </si>
  <si>
    <t>17.04 ± 1.55 b</t>
  </si>
  <si>
    <t>13.48 ± 3.34 ab</t>
  </si>
  <si>
    <t>gls</t>
  </si>
  <si>
    <t>mod_dens_lm &lt;- gls(density_ha ~ veg_ty, data=datos_plot)</t>
  </si>
  <si>
    <t xml:space="preserve">&gt; mod_dens_gls &lt;- gls(density_ha ~ veg_ty, data = datos_plot, </t>
  </si>
  <si>
    <t>+                      weights = varIdent(form = ~ 1 | veg_ty))</t>
  </si>
  <si>
    <t>&gt; anova(mod_dens_lm, mod_dens_gls)</t>
  </si>
  <si>
    <t xml:space="preserve">             Model df      AIC      BIC    logLik   Test  L.Ratio p-value</t>
  </si>
  <si>
    <t xml:space="preserve">mod_dens_lm      1  5 398.4424 405.1035 -194.2212                        </t>
  </si>
  <si>
    <t>mod_dens_gls     2  8 385.1374 395.7951 -184.5687 1 vs 2 19.30502   2e-04</t>
  </si>
  <si>
    <t>me quedo con el 2</t>
  </si>
  <si>
    <t>&gt; anova(mod_dens_gls)</t>
  </si>
  <si>
    <t>(Intercept)     1 311.44752  &lt;.0001</t>
  </si>
  <si>
    <t>veg_ty          3  22.94388  &lt;.0001</t>
  </si>
  <si>
    <t>&gt; emmeans(mod_dens_gls, pairwise ~ veg_ty, adjust = "Tukey")</t>
  </si>
  <si>
    <t xml:space="preserve"> veg_ty emmean    SE   df lower.CL upper.CL</t>
  </si>
  <si>
    <t xml:space="preserve"> E0        537  39.6 7.00      443      631</t>
  </si>
  <si>
    <t xml:space="preserve"> E10       477  93.0 7.02      258      697</t>
  </si>
  <si>
    <t xml:space="preserve"> E27       756 111.0 7.02      493     1019</t>
  </si>
  <si>
    <t xml:space="preserve"> Q         227  20.3 7.00      179      275</t>
  </si>
  <si>
    <t xml:space="preserve"> contrast  estimate    SE    df t.ratio p.value</t>
  </si>
  <si>
    <t xml:space="preserve"> E0 - E10      59.7 101.0  9.49   0.590  0.9326</t>
  </si>
  <si>
    <t xml:space="preserve"> E0 - E27    -218.8 118.0  8.77  -1.851  0.3136</t>
  </si>
  <si>
    <t xml:space="preserve"> E0 - Q       310.4  44.6 10.45   6.965  0.0002</t>
  </si>
  <si>
    <t xml:space="preserve"> E10 - E27   -278.5 145.0 13.57  -1.920  0.2654</t>
  </si>
  <si>
    <t xml:space="preserve"> E10 - Q      250.7  95.2  7.69   2.633  0.1143</t>
  </si>
  <si>
    <t xml:space="preserve"> E27 - Q      529.2 113.0  7.49   4.674  0.0081</t>
  </si>
  <si>
    <t>22.94***</t>
  </si>
  <si>
    <t>4.56*</t>
  </si>
  <si>
    <t>537.1 ± 39.6 b</t>
  </si>
  <si>
    <t>477.5 ± 93 ab</t>
  </si>
  <si>
    <t>756 ± 111.4 b</t>
  </si>
  <si>
    <t>226.8 ± 20.3 a</t>
  </si>
  <si>
    <t>&gt; mod_propEG_lm &lt;- gls(prop_eg ~ veg_ty, data= subset(datos_plot, veg_ty!="Q"))</t>
  </si>
  <si>
    <t xml:space="preserve">&gt; mod_propEG_gls &lt;- gls(prop_eg ~ veg_ty, data = subset(datos_plot, veg_ty!="Q"), </t>
  </si>
  <si>
    <t>+                     weights = varIdent(form = ~ 1 | veg_ty))</t>
  </si>
  <si>
    <t>&gt; anova(mod_propEG_lm, mod_propEG_gls)</t>
  </si>
  <si>
    <t xml:space="preserve">               Model df        AIC       BIC    logLik   Test  L.Ratio p-value</t>
  </si>
  <si>
    <t xml:space="preserve">mod_propEG_lm      1  4  -9.055793 -4.877703  8.527896                        </t>
  </si>
  <si>
    <t>mod_propEG_gls     2  6 -11.760057 -5.492922 11.880028 1 vs 2 6.704264   0.035</t>
  </si>
  <si>
    <t>**</t>
  </si>
  <si>
    <t xml:space="preserve"> anova(mod_propEG_gls)</t>
  </si>
  <si>
    <t xml:space="preserve">Denom. DF: 21 </t>
  </si>
  <si>
    <t>(Intercept)     1 2118.2343  &lt;.0001</t>
  </si>
  <si>
    <t>veg_ty          2    6.3346   0.007</t>
  </si>
  <si>
    <t>6.33**</t>
  </si>
  <si>
    <t>emmeans(mod_propEG_gls, pairwise ~ veg_ty, adjust = "Tukey")</t>
  </si>
  <si>
    <t xml:space="preserve"> veg_ty emmean     SE df lower.CL upper.CL</t>
  </si>
  <si>
    <t xml:space="preserve"> E0      0.954 0.0236  7    0.898    1.010</t>
  </si>
  <si>
    <t xml:space="preserve"> E10     0.913 0.0461  7    0.804    1.022</t>
  </si>
  <si>
    <t xml:space="preserve"> E27     0.700 0.0675  7    0.540    0.859</t>
  </si>
  <si>
    <t xml:space="preserve"> contrast  estimate     SE    df t.ratio p.value</t>
  </si>
  <si>
    <t xml:space="preserve"> E0 - E10     0.041 0.0518 10.44   0.792  0.7158</t>
  </si>
  <si>
    <t xml:space="preserve"> E0 - E27     0.254 0.0716  8.69   3.550  0.0163</t>
  </si>
  <si>
    <t xml:space="preserve"> E10 - E27    0.213 0.0818 12.35   2.606  0.0548</t>
  </si>
  <si>
    <t>95.37 ± 2.36 b</t>
  </si>
  <si>
    <t>91.27 ± 4.61 ab</t>
  </si>
  <si>
    <t>69.97 ± 6.75 a</t>
  </si>
  <si>
    <t>Riqueza</t>
  </si>
  <si>
    <t>Modelo Poisson</t>
  </si>
  <si>
    <t xml:space="preserve"> m_riq_poisson &lt;- glm(Riqueza ~ veg_ty, data = datos_plot, family = poisson(link = "log"))</t>
  </si>
  <si>
    <t>&gt; summary(m_riq_poisson)</t>
  </si>
  <si>
    <t>Call:</t>
  </si>
  <si>
    <t xml:space="preserve">glm(formula = Riqueza ~ veg_ty, family = poisson(link = "log"), </t>
  </si>
  <si>
    <t xml:space="preserve">    data = datos_plot)</t>
  </si>
  <si>
    <t xml:space="preserve">            Estimate Std. Error z value Pr(&gt;|z|)  </t>
  </si>
  <si>
    <t xml:space="preserve">(Intercept)  0.40547    0.28867   1.405   0.1601  </t>
  </si>
  <si>
    <t xml:space="preserve">veg_tyE10    0.08004    0.40032   0.200   0.8415  </t>
  </si>
  <si>
    <t>veg_tyE27    0.84730    0.34503   2.456   0.0141 *</t>
  </si>
  <si>
    <t xml:space="preserve">veg_tyQ     -0.18232    0.42817  -0.426   0.6702  </t>
  </si>
  <si>
    <t>(Dispersion parameter for poisson family taken to be 1)</t>
  </si>
  <si>
    <t xml:space="preserve">    Null deviance: 21.384  on 31  degrees of freedom</t>
  </si>
  <si>
    <t>Residual deviance:  9.764  on 28  degrees of freedom</t>
  </si>
  <si>
    <t>AIC: 96.512</t>
  </si>
  <si>
    <t>Number of Fisher Scoring iterations: 4</t>
  </si>
  <si>
    <t>modelo semipoisson</t>
  </si>
  <si>
    <t>&gt; m_riq_quasi &lt;- glm(Riqueza ~ veg_ty, data = datos_plot, family = quasipoisson(link = "log"))</t>
  </si>
  <si>
    <t>&gt; summary(m_riq_quasi)</t>
  </si>
  <si>
    <t xml:space="preserve">glm(formula = Riqueza ~ veg_ty, family = quasipoisson(link = "log"), </t>
  </si>
  <si>
    <t xml:space="preserve">            Estimate Std. Error t value Pr(&gt;|t|)    </t>
  </si>
  <si>
    <t xml:space="preserve">(Intercept)  0.40547    0.16973   2.389 0.023881 *  </t>
  </si>
  <si>
    <t xml:space="preserve">veg_tyE10    0.08004    0.23538   0.340 0.736347    </t>
  </si>
  <si>
    <t>veg_tyE27    0.84730    0.20287   4.177 0.000261 ***</t>
  </si>
  <si>
    <t xml:space="preserve">veg_tyQ     -0.18232    0.25175  -0.724 0.474948    </t>
  </si>
  <si>
    <t>(Dispersion parameter for quasipoisson family taken to be 0.3457105)</t>
  </si>
  <si>
    <t>AIC: NA</t>
  </si>
  <si>
    <t>Si este valor &lt;1 tengo subdispersióin y el modelo Quasipoisson es bueno si no hay estructura en el gráfico de diagnóstico</t>
  </si>
  <si>
    <t>&gt; anova(m_riq_quasi, test = "F")</t>
  </si>
  <si>
    <t>Analysis of Deviance Table</t>
  </si>
  <si>
    <t>Model: quasipoisson, link: log</t>
  </si>
  <si>
    <t>Response: Riqueza</t>
  </si>
  <si>
    <t>Terms added sequentially (first to last)</t>
  </si>
  <si>
    <t xml:space="preserve">       Df Deviance Resid. Df Resid. Dev      F    Pr(&gt;F)    </t>
  </si>
  <si>
    <t xml:space="preserve">NULL                      31     21.384                     </t>
  </si>
  <si>
    <t>veg_ty  3    11.62        28      9.764 11.204 5.271e-05 ***</t>
  </si>
  <si>
    <t>11.20***</t>
  </si>
  <si>
    <t>comparaciones &lt;- emmeans(m_riq_quasi, poly ~ veg_ty, type = "response")</t>
  </si>
  <si>
    <t>&gt; pairs(emmeans(m_riq_quasi, ~ veg_ty, type = "response"))</t>
  </si>
  <si>
    <t xml:space="preserve"> contrast  ratio     SE  df null z.ratio p.value</t>
  </si>
  <si>
    <t xml:space="preserve"> E0 / E10  0.923 0.2170 Inf    1  -0.340  0.9865</t>
  </si>
  <si>
    <t xml:space="preserve"> E0 / E27  0.429 0.0869 Inf    1  -4.177  0.0002</t>
  </si>
  <si>
    <t xml:space="preserve"> E0 / Q    1.200 0.3020 Inf    1   0.724  0.8875</t>
  </si>
  <si>
    <t xml:space="preserve"> E10 / E27 0.464 0.0916 Inf    1  -3.888  0.0006</t>
  </si>
  <si>
    <t xml:space="preserve"> E10 / Q   1.300 0.3220 Inf    1   1.061  0.7134</t>
  </si>
  <si>
    <t xml:space="preserve"> E27 / Q   2.800 0.6060 Inf    1   4.753 &lt;0.0001</t>
  </si>
  <si>
    <t>1.5 ± 0.27 a</t>
  </si>
  <si>
    <t>1.25 ± 0.16 a</t>
  </si>
  <si>
    <t>1.63 ± 0.26 a</t>
  </si>
  <si>
    <t>3.5 ± 0.46 b</t>
  </si>
  <si>
    <t xml:space="preserve">Shannon </t>
  </si>
  <si>
    <t>m_shannon &lt;- lm(Shannon ~ veg_ty, data = datos_plot)</t>
  </si>
  <si>
    <t>&gt; # 2. comprobar residuos</t>
  </si>
  <si>
    <t>&gt; residuos_shannon &lt;- simulateResiduals(fittedModel = m_shannon)</t>
  </si>
  <si>
    <t>&gt; plot(residuos_shannon)</t>
  </si>
  <si>
    <t>anova(m_shannon)</t>
  </si>
  <si>
    <t>Analysis of Variance Table</t>
  </si>
  <si>
    <t>Response: Shannon</t>
  </si>
  <si>
    <t xml:space="preserve">          Df Sum Sq Mean Sq F value    Pr(&gt;F)    </t>
  </si>
  <si>
    <t>veg_ty     3 1.1143 0.37142  8.0879 0.0004915 ***</t>
  </si>
  <si>
    <t xml:space="preserve">Residuals 28 1.2858 0.04592                      </t>
  </si>
  <si>
    <t>8.09***</t>
  </si>
  <si>
    <t>emm_shannon</t>
  </si>
  <si>
    <t xml:space="preserve"> E0     0.0778 0.0758 28  -0.0774    0.233</t>
  </si>
  <si>
    <t xml:space="preserve"> E10    0.2073 0.0758 28   0.0521    0.362</t>
  </si>
  <si>
    <t xml:space="preserve"> E27    0.5470 0.0758 28   0.3918    0.702</t>
  </si>
  <si>
    <t xml:space="preserve"> Q      0.1069 0.0758 28  -0.0483    0.262</t>
  </si>
  <si>
    <t>&gt; pairs(emm_shannon, adjust = "tukey")</t>
  </si>
  <si>
    <t xml:space="preserve"> contrast  estimate    SE df t.ratio p.value</t>
  </si>
  <si>
    <t xml:space="preserve"> E0 - E10   -0.1295 0.107 28  -1.208  0.6267</t>
  </si>
  <si>
    <t xml:space="preserve"> E0 - E27   -0.4693 0.107 28  -4.380  0.0008</t>
  </si>
  <si>
    <t xml:space="preserve"> E0 - Q     -0.0291 0.107 28  -0.272  0.9928</t>
  </si>
  <si>
    <t xml:space="preserve"> E10 - E27  -0.3398 0.107 28  -3.171  0.0181</t>
  </si>
  <si>
    <t xml:space="preserve"> E10 - Q     0.1004 0.107 28   0.937  0.7854</t>
  </si>
  <si>
    <t xml:space="preserve"> E27 - Q     0.4402 0.107 28   4.108  0.0017</t>
  </si>
  <si>
    <t>0.08 ± 0.04 a</t>
  </si>
  <si>
    <t>0.21 ± 0.08 a</t>
  </si>
  <si>
    <t>0.55 ± 0.09 b</t>
  </si>
  <si>
    <t>0.11 ± 0.07 a</t>
  </si>
  <si>
    <t>10.64 ± 1.19</t>
  </si>
  <si>
    <t>517.3 ± 47.7</t>
  </si>
  <si>
    <t>15.77 ± 1.18</t>
  </si>
  <si>
    <t>8.23 ± 1.64</t>
  </si>
  <si>
    <t>413.8 ± 60.2</t>
  </si>
  <si>
    <t>14.76 ± 1.11</t>
  </si>
  <si>
    <t>14.27 ± 1.84</t>
  </si>
  <si>
    <t>573 ± 112.2</t>
  </si>
  <si>
    <t>18.78 ± 2.28</t>
  </si>
  <si>
    <t>F</t>
  </si>
  <si>
    <t>3.0 ns</t>
  </si>
  <si>
    <t>1.23 ns</t>
  </si>
  <si>
    <t>Chi</t>
  </si>
  <si>
    <t>3.13ns</t>
  </si>
  <si>
    <t>17.54***</t>
  </si>
  <si>
    <t>14.83 ± 1.01 b</t>
  </si>
  <si>
    <t>10.31 ± 0.83 a</t>
  </si>
  <si>
    <t>13.66 ± 0.71 b</t>
  </si>
  <si>
    <t>35.02***</t>
  </si>
  <si>
    <t>2.55 ± 0.19 b</t>
  </si>
  <si>
    <t>1.97 ± 0.28 a</t>
  </si>
  <si>
    <t>1.23 ± 0.2 a</t>
  </si>
  <si>
    <t>Table S1</t>
  </si>
  <si>
    <t>&gt; Anova(m_dbh_disp) #ojo, Anova con A mayúscula, paquete car</t>
  </si>
  <si>
    <t>Analysis of Deviance Table (Type II Wald chisquare tests)</t>
  </si>
  <si>
    <t xml:space="preserve">        Chisq Df Pr(&gt;Chisq)    </t>
  </si>
  <si>
    <t>veg_ty 30.193  3  1.257e-06 ***</t>
  </si>
  <si>
    <t xml:space="preserve"> emmeans(m_dbh_disp, pairwise ~ veg_ty, type = "response") #type response sirve para que deshaga el log y devuelva las medias en la escala original</t>
  </si>
  <si>
    <t xml:space="preserve"> veg_ty response   SE  df asymp.LCL asymp.UCL</t>
  </si>
  <si>
    <t xml:space="preserve"> E0         15.2 1.02 Inf      13.4      17.4</t>
  </si>
  <si>
    <t xml:space="preserve"> E10        14.3 1.03 Inf      12.4      16.4</t>
  </si>
  <si>
    <t xml:space="preserve"> E27        16.1 1.12 Inf      14.0      18.4</t>
  </si>
  <si>
    <t xml:space="preserve"> Q          24.4 1.91 Inf      20.9      28.4</t>
  </si>
  <si>
    <t xml:space="preserve">Intervals are back-transformed from the log scale </t>
  </si>
  <si>
    <t xml:space="preserve"> E0 / E10  1.068 0.1050 Inf    1   0.673  0.9073</t>
  </si>
  <si>
    <t xml:space="preserve"> E0 / E27  0.949 0.0917 Inf    1  -0.538  0.9497</t>
  </si>
  <si>
    <t xml:space="preserve"> E0 / Q    0.626 0.0644 Inf    1  -4.555 &lt;0.0001</t>
  </si>
  <si>
    <t xml:space="preserve"> E10 / E27 0.889 0.0891 Inf    1  -1.178  0.6408</t>
  </si>
  <si>
    <t xml:space="preserve"> E10 / Q   0.586 0.0623 Inf    1  -5.028 &lt;0.0001</t>
  </si>
  <si>
    <t xml:space="preserve"> E27 / Q   0.659 0.0691 Inf    1  -3.971  0.0004</t>
  </si>
  <si>
    <t xml:space="preserve">P value adjustment: tukey method for comparing a family of 4 estimates </t>
  </si>
  <si>
    <t xml:space="preserve">Tests are performed on the log scale </t>
  </si>
  <si>
    <t>15.45 ± 1.08 a</t>
  </si>
  <si>
    <t>14.55 ± 1.11 a</t>
  </si>
  <si>
    <t>16.52 ± 1.04 a</t>
  </si>
  <si>
    <t>25.52 ± 3.16 b</t>
  </si>
  <si>
    <t>&gt; emmeans(m_health_ord, pairwise ~ veg_ty)</t>
  </si>
  <si>
    <t xml:space="preserve"> veg_ty emmean    SE  df asymp.LCL asymp.UCL</t>
  </si>
  <si>
    <t xml:space="preserve"> E0      2.771 0.581 Inf     1.632      3.91</t>
  </si>
  <si>
    <t xml:space="preserve"> E10     1.198 0.517 Inf     0.184      2.21</t>
  </si>
  <si>
    <t xml:space="preserve"> E27     0.279 0.494 Inf    -0.689      1.25</t>
  </si>
  <si>
    <t xml:space="preserve"> Q       2.443 0.589 Inf     1.289      3.60</t>
  </si>
  <si>
    <t xml:space="preserve"> contrast  estimate    SE  df z.ratio p.value</t>
  </si>
  <si>
    <t xml:space="preserve"> E0 - E10     1.572 0.764 Inf   2.059  0.1667</t>
  </si>
  <si>
    <t xml:space="preserve"> E0 - E27     2.492 0.758 Inf   3.286  0.0056</t>
  </si>
  <si>
    <t xml:space="preserve"> E0 - Q       0.327 0.804 Inf   0.407  0.9772</t>
  </si>
  <si>
    <t xml:space="preserve"> E10 - E27    0.920 0.714 Inf   1.289  0.5702</t>
  </si>
  <si>
    <t xml:space="preserve"> E10 - Q     -1.245 0.775 Inf  -1.606  0.3752</t>
  </si>
  <si>
    <t xml:space="preserve"> E27 - Q     -2.164 0.766 Inf  -2.826  0.0244</t>
  </si>
  <si>
    <t>1.71 ± 0.19  a</t>
  </si>
  <si>
    <t>2.11 ± 0.23 ab</t>
  </si>
  <si>
    <t>2.56 ± 0.19 b</t>
  </si>
  <si>
    <t>2.62 ± 0.13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</si>
</sst>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Lucida Console"/>
      <family val="3"/>
    </font>
    <font>
      <sz val="8"/>
      <color rgb="FF0000FF"/>
      <name val="Lucida Console"/>
      <family val="3"/>
    </font>
    <font>
      <sz val="10"/>
      <color rgb="FF000000"/>
      <name val="Lucida Console"/>
      <family val="3"/>
    </font>
    <font>
      <sz val="10"/>
      <color rgb="FF0000FF"/>
      <name val="Lucida Console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33" borderId="0" xfId="0" applyFill="1" applyAlignment="1">
      <alignment vertical="center"/>
    </xf>
    <xf numFmtId="0" fontId="18" fillId="33" borderId="0" xfId="0" applyFont="1" applyFill="1" applyAlignment="1">
      <alignment vertical="center"/>
    </xf>
    <xf numFmtId="0" fontId="21" fillId="33" borderId="0" xfId="0" applyFont="1" applyFill="1" applyAlignment="1">
      <alignment horizontal="left" vertical="center"/>
    </xf>
    <xf numFmtId="0" fontId="20" fillId="33" borderId="0" xfId="0" applyFont="1" applyFill="1" applyAlignment="1">
      <alignment horizontal="left" vertical="center"/>
    </xf>
    <xf numFmtId="0" fontId="20" fillId="33" borderId="0" xfId="0" applyFont="1" applyFill="1" applyAlignment="1">
      <alignment horizontal="left" vertical="top" wrapText="1"/>
    </xf>
    <xf numFmtId="0" fontId="19" fillId="33" borderId="0" xfId="0" applyFont="1" applyFill="1" applyAlignment="1">
      <alignment vertical="center"/>
    </xf>
    <xf numFmtId="0" fontId="14" fillId="0" borderId="0" xfId="0" applyFont="1" applyAlignment="1">
      <alignment wrapText="1"/>
    </xf>
    <xf numFmtId="0" fontId="14" fillId="0" borderId="0" xfId="0" applyFont="1"/>
    <xf numFmtId="0" fontId="0" fillId="34" borderId="0" xfId="0" applyFill="1" applyAlignment="1">
      <alignment wrapText="1"/>
    </xf>
    <xf numFmtId="0" fontId="0" fillId="34" borderId="0" xfId="0" applyFill="1"/>
    <xf numFmtId="0" fontId="0" fillId="0" borderId="0" xfId="0" applyFill="1" applyAlignment="1">
      <alignment wrapText="1"/>
    </xf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9</xdr:col>
      <xdr:colOff>49530</xdr:colOff>
      <xdr:row>43</xdr:row>
      <xdr:rowOff>11430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2D9EC09-BF04-7AFC-FD40-8D2C599E4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0320"/>
          <a:ext cx="7181850" cy="5314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76200</xdr:rowOff>
    </xdr:from>
    <xdr:to>
      <xdr:col>10</xdr:col>
      <xdr:colOff>133350</xdr:colOff>
      <xdr:row>58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08220"/>
          <a:ext cx="8667750" cy="541972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20</xdr:col>
      <xdr:colOff>40005</xdr:colOff>
      <xdr:row>57</xdr:row>
      <xdr:rowOff>11430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6E3614-A339-B4DB-505E-F4F9D9741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7280" y="5120640"/>
          <a:ext cx="7172325" cy="5314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F8FDFCD1-80CF-220F-D3B6-0A2475422145}"/>
            </a:ext>
          </a:extLst>
        </xdr:cNvPr>
        <xdr:cNvSpPr>
          <a:spLocks noChangeAspect="1" noChangeArrowheads="1"/>
        </xdr:cNvSpPr>
      </xdr:nvSpPr>
      <xdr:spPr bwMode="auto">
        <a:xfrm>
          <a:off x="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9</xdr:col>
      <xdr:colOff>40005</xdr:colOff>
      <xdr:row>37</xdr:row>
      <xdr:rowOff>11430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3B7DE8-CEB4-0486-AC8D-F68EC8199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3040"/>
          <a:ext cx="7172325" cy="5314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9</xdr:col>
      <xdr:colOff>49530</xdr:colOff>
      <xdr:row>45</xdr:row>
      <xdr:rowOff>11430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D45FCB1-5195-F4B1-3063-1C3F15127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6080"/>
          <a:ext cx="7181850" cy="531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opLeftCell="C1" workbookViewId="0">
      <selection sqref="A1:R5"/>
    </sheetView>
  </sheetViews>
  <sheetFormatPr baseColWidth="10" defaultRowHeight="14.4" x14ac:dyDescent="0.3"/>
  <sheetData>
    <row r="1" spans="1:18" x14ac:dyDescent="0.3">
      <c r="A1" t="s">
        <v>0</v>
      </c>
      <c r="B1" t="s">
        <v>24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89</v>
      </c>
      <c r="I1" t="s">
        <v>90</v>
      </c>
      <c r="J1" t="s">
        <v>91</v>
      </c>
      <c r="K1" t="s">
        <v>92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3">
      <c r="A2" t="s">
        <v>13</v>
      </c>
      <c r="B2">
        <v>10.8810541083164</v>
      </c>
      <c r="C2">
        <v>1.28835260598631</v>
      </c>
      <c r="D2">
        <v>537.14793293514697</v>
      </c>
      <c r="E2">
        <v>39.646378480187899</v>
      </c>
      <c r="F2">
        <v>0.95368589743589705</v>
      </c>
      <c r="G2">
        <v>2.3615556504487101E-2</v>
      </c>
      <c r="H2">
        <v>1.5</v>
      </c>
      <c r="I2">
        <v>0.26726124191242401</v>
      </c>
      <c r="J2">
        <v>7.7768341017989503E-2</v>
      </c>
      <c r="K2">
        <v>4.3784629200950803E-2</v>
      </c>
      <c r="L2">
        <v>8</v>
      </c>
      <c r="M2">
        <v>15.449283660579599</v>
      </c>
      <c r="N2">
        <v>1.0792515952783399</v>
      </c>
      <c r="O2">
        <v>14.4532080664434</v>
      </c>
      <c r="P2">
        <v>1.0658923217649201</v>
      </c>
      <c r="Q2">
        <v>2.5641294979530298</v>
      </c>
      <c r="R2">
        <v>0.18867502139727199</v>
      </c>
    </row>
    <row r="3" spans="1:18" x14ac:dyDescent="0.3">
      <c r="A3" t="s">
        <v>14</v>
      </c>
      <c r="B3">
        <v>8.9910095816286493</v>
      </c>
      <c r="C3">
        <v>1.8929352585744801</v>
      </c>
      <c r="D3">
        <v>477.46482927568599</v>
      </c>
      <c r="E3">
        <v>92.997240532253599</v>
      </c>
      <c r="F3">
        <v>0.91269841269841301</v>
      </c>
      <c r="G3">
        <v>4.6053549160457001E-2</v>
      </c>
      <c r="H3">
        <v>1.625</v>
      </c>
      <c r="I3">
        <v>0.26305214040457597</v>
      </c>
      <c r="J3">
        <v>0.207256311968362</v>
      </c>
      <c r="K3">
        <v>8.23950047201258E-2</v>
      </c>
      <c r="L3">
        <v>8</v>
      </c>
      <c r="M3">
        <v>14.5472447691198</v>
      </c>
      <c r="N3">
        <v>1.11195621389597</v>
      </c>
      <c r="O3">
        <v>10.024056581152299</v>
      </c>
      <c r="P3">
        <v>0.87094260389589395</v>
      </c>
      <c r="Q3">
        <v>2.1127592893217901</v>
      </c>
      <c r="R3">
        <v>0.22835045246791</v>
      </c>
    </row>
    <row r="4" spans="1:18" x14ac:dyDescent="0.3">
      <c r="A4" t="s">
        <v>15</v>
      </c>
      <c r="B4">
        <v>17.035946540950999</v>
      </c>
      <c r="C4">
        <v>1.54779780460976</v>
      </c>
      <c r="D4">
        <v>755.98597968650301</v>
      </c>
      <c r="E4">
        <v>111.367852012745</v>
      </c>
      <c r="F4">
        <v>0.69967026607651595</v>
      </c>
      <c r="G4">
        <v>6.7547827207273106E-2</v>
      </c>
      <c r="H4">
        <v>3.5</v>
      </c>
      <c r="I4">
        <v>0.46291004988627599</v>
      </c>
      <c r="J4">
        <v>0.54704733721779897</v>
      </c>
      <c r="K4">
        <v>9.48519621620523E-2</v>
      </c>
      <c r="L4">
        <v>8</v>
      </c>
      <c r="M4">
        <v>16.516258812419199</v>
      </c>
      <c r="N4">
        <v>1.0417814561258301</v>
      </c>
      <c r="O4">
        <v>11.4127777777778</v>
      </c>
      <c r="P4">
        <v>0.95859771485444401</v>
      </c>
      <c r="Q4">
        <v>1.7057500216967101</v>
      </c>
      <c r="R4">
        <v>0.19087682592449501</v>
      </c>
    </row>
    <row r="5" spans="1:18" x14ac:dyDescent="0.3">
      <c r="A5" t="s">
        <v>16</v>
      </c>
      <c r="B5">
        <v>13.484523777802099</v>
      </c>
      <c r="C5">
        <v>3.3388809677291902</v>
      </c>
      <c r="D5">
        <v>226.795793905951</v>
      </c>
      <c r="E5">
        <v>20.3440148965351</v>
      </c>
      <c r="F5">
        <v>0</v>
      </c>
      <c r="G5">
        <v>0</v>
      </c>
      <c r="H5">
        <v>1.25</v>
      </c>
      <c r="I5">
        <v>0.16366341767699399</v>
      </c>
      <c r="J5">
        <v>0.106870576707268</v>
      </c>
      <c r="K5">
        <v>7.25147813842692E-2</v>
      </c>
      <c r="L5">
        <v>8</v>
      </c>
      <c r="M5">
        <v>25.521066468253998</v>
      </c>
      <c r="N5">
        <v>3.1552466594031601</v>
      </c>
      <c r="O5">
        <v>7.4793204365079404</v>
      </c>
      <c r="P5">
        <v>0.83392264847852304</v>
      </c>
      <c r="Q5">
        <v>2.6184523809523799</v>
      </c>
      <c r="R5">
        <v>0.13323744578087601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topLeftCell="C1" workbookViewId="0">
      <selection activeCell="Q14" sqref="Q14"/>
    </sheetView>
  </sheetViews>
  <sheetFormatPr baseColWidth="10" defaultRowHeight="14.4" x14ac:dyDescent="0.3"/>
  <cols>
    <col min="6" max="6" width="14.77734375" customWidth="1"/>
  </cols>
  <sheetData>
    <row r="1" spans="1:17" x14ac:dyDescent="0.3">
      <c r="A1" t="s">
        <v>0</v>
      </c>
      <c r="B1" t="s">
        <v>24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89</v>
      </c>
      <c r="I1" t="s">
        <v>90</v>
      </c>
      <c r="J1" t="s">
        <v>91</v>
      </c>
      <c r="K1" t="s">
        <v>92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3">
      <c r="A2" t="s">
        <v>13</v>
      </c>
      <c r="B2">
        <v>10.8810541083164</v>
      </c>
      <c r="C2">
        <v>1.28835260598631</v>
      </c>
      <c r="D2">
        <v>537.14793293514697</v>
      </c>
      <c r="E2">
        <v>39.646378480187899</v>
      </c>
      <c r="F2">
        <v>0.95368589743589705</v>
      </c>
      <c r="G2">
        <v>2.3615556504487101E-2</v>
      </c>
      <c r="H2">
        <v>1.5</v>
      </c>
      <c r="I2">
        <v>0.26726124191242401</v>
      </c>
      <c r="J2">
        <v>7.7768341017989503E-2</v>
      </c>
      <c r="K2">
        <v>4.3784629200950803E-2</v>
      </c>
      <c r="L2">
        <v>15.449283660579599</v>
      </c>
      <c r="M2">
        <v>1.0792515952783399</v>
      </c>
      <c r="N2">
        <v>14.4532080664434</v>
      </c>
      <c r="O2">
        <v>1.0658923217649201</v>
      </c>
      <c r="P2">
        <v>2.5641294979530298</v>
      </c>
      <c r="Q2">
        <v>0.18867502139727199</v>
      </c>
    </row>
    <row r="3" spans="1:17" x14ac:dyDescent="0.3">
      <c r="A3" t="s">
        <v>14</v>
      </c>
      <c r="B3">
        <v>8.9910095816286493</v>
      </c>
      <c r="C3">
        <v>1.8929352585744801</v>
      </c>
      <c r="D3">
        <v>477.46482927568599</v>
      </c>
      <c r="E3">
        <v>92.997240532253599</v>
      </c>
      <c r="F3">
        <v>0.91269841269841301</v>
      </c>
      <c r="G3">
        <v>4.6053549160457001E-2</v>
      </c>
      <c r="H3">
        <v>1.625</v>
      </c>
      <c r="I3">
        <v>0.26305214040457597</v>
      </c>
      <c r="J3">
        <v>0.207256311968362</v>
      </c>
      <c r="K3">
        <v>8.23950047201258E-2</v>
      </c>
      <c r="L3">
        <v>14.5472447691198</v>
      </c>
      <c r="M3">
        <v>1.11195621389597</v>
      </c>
      <c r="N3">
        <v>10.024056581152299</v>
      </c>
      <c r="O3">
        <v>0.87094260389589395</v>
      </c>
      <c r="P3">
        <v>2.1127592893217901</v>
      </c>
      <c r="Q3">
        <v>0.22835045246791</v>
      </c>
    </row>
    <row r="4" spans="1:17" x14ac:dyDescent="0.3">
      <c r="A4" t="s">
        <v>15</v>
      </c>
      <c r="B4">
        <v>17.035946540950999</v>
      </c>
      <c r="C4">
        <v>1.54779780460976</v>
      </c>
      <c r="D4">
        <v>755.98597968650301</v>
      </c>
      <c r="E4">
        <v>111.367852012745</v>
      </c>
      <c r="F4">
        <v>0.69967026607651595</v>
      </c>
      <c r="G4">
        <v>6.7547827207273106E-2</v>
      </c>
      <c r="H4">
        <v>3.5</v>
      </c>
      <c r="I4">
        <v>0.46291004988627599</v>
      </c>
      <c r="J4">
        <v>0.54704733721779897</v>
      </c>
      <c r="K4">
        <v>9.48519621620523E-2</v>
      </c>
      <c r="L4">
        <v>16.516258812419199</v>
      </c>
      <c r="M4">
        <v>1.0417814561258301</v>
      </c>
      <c r="N4">
        <v>11.4127777777778</v>
      </c>
      <c r="O4">
        <v>0.95859771485444401</v>
      </c>
      <c r="P4">
        <v>1.7057500216967101</v>
      </c>
      <c r="Q4">
        <v>0.19087682592449501</v>
      </c>
    </row>
    <row r="5" spans="1:17" x14ac:dyDescent="0.3">
      <c r="A5" t="s">
        <v>16</v>
      </c>
      <c r="B5">
        <v>13.484523777802099</v>
      </c>
      <c r="C5">
        <v>3.3388809677291902</v>
      </c>
      <c r="D5">
        <v>226.795793905951</v>
      </c>
      <c r="E5">
        <v>20.3440148965351</v>
      </c>
      <c r="F5">
        <v>0</v>
      </c>
      <c r="G5">
        <v>0</v>
      </c>
      <c r="H5">
        <v>1.25</v>
      </c>
      <c r="I5">
        <v>0.16366341767699399</v>
      </c>
      <c r="J5">
        <v>0.106870576707268</v>
      </c>
      <c r="K5">
        <v>7.25147813842692E-2</v>
      </c>
      <c r="L5">
        <v>25.521066468253998</v>
      </c>
      <c r="M5">
        <v>3.1552466594031601</v>
      </c>
      <c r="N5">
        <v>7.4793204365079404</v>
      </c>
      <c r="O5">
        <v>0.83392264847852304</v>
      </c>
      <c r="P5">
        <v>2.6184523809523799</v>
      </c>
      <c r="Q5">
        <v>0.13323744578087601</v>
      </c>
    </row>
    <row r="8" spans="1:17" s="1" customFormat="1" ht="28.8" x14ac:dyDescent="0.3">
      <c r="A8" s="1" t="s">
        <v>0</v>
      </c>
      <c r="B8" s="1" t="s">
        <v>17</v>
      </c>
      <c r="C8" s="1" t="s">
        <v>1</v>
      </c>
      <c r="D8" s="1" t="s">
        <v>18</v>
      </c>
      <c r="E8" s="1" t="s">
        <v>3</v>
      </c>
      <c r="F8" s="1" t="s">
        <v>19</v>
      </c>
      <c r="G8" s="1" t="s">
        <v>5</v>
      </c>
      <c r="H8" s="1" t="s">
        <v>93</v>
      </c>
      <c r="I8" s="1" t="s">
        <v>90</v>
      </c>
      <c r="J8" s="1" t="s">
        <v>94</v>
      </c>
      <c r="K8" t="s">
        <v>92</v>
      </c>
      <c r="L8" s="1" t="s">
        <v>20</v>
      </c>
      <c r="M8" s="1" t="s">
        <v>8</v>
      </c>
      <c r="N8" s="1" t="s">
        <v>21</v>
      </c>
      <c r="O8" s="1" t="s">
        <v>10</v>
      </c>
      <c r="P8" s="1" t="s">
        <v>22</v>
      </c>
      <c r="Q8" s="1" t="s">
        <v>12</v>
      </c>
    </row>
    <row r="9" spans="1:17" x14ac:dyDescent="0.3">
      <c r="A9" t="s">
        <v>13</v>
      </c>
      <c r="B9">
        <v>10.8810541083164</v>
      </c>
      <c r="C9">
        <v>1.28835260598631</v>
      </c>
      <c r="D9">
        <v>537.14793293514697</v>
      </c>
      <c r="E9">
        <v>39.646378480187899</v>
      </c>
      <c r="F9">
        <v>0.95368589743589705</v>
      </c>
      <c r="G9">
        <v>2.3615556504487101E-2</v>
      </c>
      <c r="H9">
        <v>1.5</v>
      </c>
      <c r="I9">
        <v>0.26726124191242401</v>
      </c>
      <c r="J9">
        <v>7.7768341017989503E-2</v>
      </c>
      <c r="K9">
        <v>4.3784629200950803E-2</v>
      </c>
      <c r="L9">
        <v>15.449283660579599</v>
      </c>
      <c r="M9">
        <v>1.0792515952783399</v>
      </c>
      <c r="N9">
        <v>14.4532080664434</v>
      </c>
      <c r="O9">
        <v>1.0658923217649201</v>
      </c>
      <c r="P9">
        <v>2.5641294979530298</v>
      </c>
      <c r="Q9">
        <v>0.18867502139727199</v>
      </c>
    </row>
    <row r="10" spans="1:17" x14ac:dyDescent="0.3">
      <c r="A10" t="s">
        <v>14</v>
      </c>
      <c r="B10">
        <v>8.9910095816286493</v>
      </c>
      <c r="C10">
        <v>1.8929352585744801</v>
      </c>
      <c r="D10">
        <v>477.46482927568599</v>
      </c>
      <c r="E10">
        <v>92.997240532253599</v>
      </c>
      <c r="F10">
        <v>0.91269841269841301</v>
      </c>
      <c r="G10">
        <v>4.6053549160457001E-2</v>
      </c>
      <c r="H10">
        <v>1.625</v>
      </c>
      <c r="I10">
        <v>0.26305214040457597</v>
      </c>
      <c r="J10">
        <v>0.207256311968362</v>
      </c>
      <c r="K10">
        <v>8.23950047201258E-2</v>
      </c>
      <c r="L10">
        <v>14.5472447691198</v>
      </c>
      <c r="M10">
        <v>1.11195621389597</v>
      </c>
      <c r="N10">
        <v>10.024056581152299</v>
      </c>
      <c r="O10">
        <v>0.87094260389589395</v>
      </c>
      <c r="P10">
        <v>2.1127592893217901</v>
      </c>
      <c r="Q10">
        <v>0.22835045246791</v>
      </c>
    </row>
    <row r="11" spans="1:17" x14ac:dyDescent="0.3">
      <c r="A11" t="s">
        <v>15</v>
      </c>
      <c r="B11">
        <v>17.035946540950999</v>
      </c>
      <c r="C11">
        <v>1.54779780460976</v>
      </c>
      <c r="D11">
        <v>755.98597968650301</v>
      </c>
      <c r="E11">
        <v>111.367852012745</v>
      </c>
      <c r="F11">
        <v>0.69967026607651595</v>
      </c>
      <c r="G11">
        <v>6.7547827207273106E-2</v>
      </c>
      <c r="H11">
        <v>3.5</v>
      </c>
      <c r="I11">
        <v>0.46291004988627599</v>
      </c>
      <c r="J11">
        <v>0.54704733721779897</v>
      </c>
      <c r="K11">
        <v>9.48519621620523E-2</v>
      </c>
      <c r="L11">
        <v>16.516258812419199</v>
      </c>
      <c r="M11">
        <v>1.0417814561258301</v>
      </c>
      <c r="N11">
        <v>11.4127777777778</v>
      </c>
      <c r="O11">
        <v>0.95859771485444401</v>
      </c>
      <c r="P11">
        <v>1.7057500216967101</v>
      </c>
      <c r="Q11">
        <v>0.19087682592449501</v>
      </c>
    </row>
    <row r="12" spans="1:17" x14ac:dyDescent="0.3">
      <c r="A12" t="s">
        <v>16</v>
      </c>
      <c r="B12">
        <v>13.484523777802099</v>
      </c>
      <c r="C12">
        <v>3.3388809677291902</v>
      </c>
      <c r="D12">
        <v>226.795793905951</v>
      </c>
      <c r="E12">
        <v>20.3440148965351</v>
      </c>
      <c r="F12">
        <v>0</v>
      </c>
      <c r="G12">
        <v>0</v>
      </c>
      <c r="H12">
        <v>1.25</v>
      </c>
      <c r="I12">
        <v>0.16366341767699399</v>
      </c>
      <c r="J12">
        <v>0.106870576707268</v>
      </c>
      <c r="K12">
        <v>7.25147813842692E-2</v>
      </c>
      <c r="L12">
        <v>25.521066468253998</v>
      </c>
      <c r="M12">
        <v>3.1552466594031601</v>
      </c>
      <c r="N12">
        <v>7.4793204365079404</v>
      </c>
      <c r="O12">
        <v>0.83392264847852304</v>
      </c>
      <c r="P12">
        <v>2.6184523809523799</v>
      </c>
      <c r="Q12">
        <v>0.13323744578087601</v>
      </c>
    </row>
    <row r="15" spans="1:17" s="1" customFormat="1" ht="28.8" x14ac:dyDescent="0.3">
      <c r="A15" s="1" t="s">
        <v>0</v>
      </c>
      <c r="B15" s="1" t="s">
        <v>17</v>
      </c>
      <c r="C15" s="1" t="s">
        <v>1</v>
      </c>
      <c r="D15" s="1" t="s">
        <v>18</v>
      </c>
      <c r="E15" s="1" t="s">
        <v>3</v>
      </c>
      <c r="F15" s="1" t="s">
        <v>23</v>
      </c>
      <c r="G15" s="1" t="s">
        <v>5</v>
      </c>
      <c r="H15" s="1" t="s">
        <v>93</v>
      </c>
      <c r="I15" s="1" t="s">
        <v>90</v>
      </c>
      <c r="J15" s="1" t="s">
        <v>94</v>
      </c>
      <c r="K15" t="s">
        <v>92</v>
      </c>
      <c r="L15" s="1" t="s">
        <v>20</v>
      </c>
      <c r="M15" s="1" t="s">
        <v>8</v>
      </c>
      <c r="N15" s="1" t="s">
        <v>21</v>
      </c>
      <c r="O15" s="1" t="s">
        <v>10</v>
      </c>
      <c r="P15" s="1" t="s">
        <v>22</v>
      </c>
      <c r="Q15" s="1" t="s">
        <v>12</v>
      </c>
    </row>
    <row r="16" spans="1:17" x14ac:dyDescent="0.3">
      <c r="A16" t="s">
        <v>13</v>
      </c>
      <c r="B16">
        <f>+ROUND(B9,2)</f>
        <v>10.88</v>
      </c>
      <c r="C16">
        <f t="shared" ref="C16:Q16" si="0">+ROUND(C9,2)</f>
        <v>1.29</v>
      </c>
      <c r="D16">
        <f>+ROUND(D9,1)</f>
        <v>537.1</v>
      </c>
      <c r="E16">
        <f>+ROUND(E9,1)</f>
        <v>39.6</v>
      </c>
      <c r="F16">
        <f>+ROUND(F9*100,2)</f>
        <v>95.37</v>
      </c>
      <c r="G16">
        <f>+ROUND(G9*100,2)</f>
        <v>2.36</v>
      </c>
      <c r="H16">
        <f>+ROUND(H9,2)</f>
        <v>1.5</v>
      </c>
      <c r="I16">
        <f t="shared" ref="I16:K16" si="1">+ROUND(I9,2)</f>
        <v>0.27</v>
      </c>
      <c r="J16">
        <f t="shared" si="1"/>
        <v>0.08</v>
      </c>
      <c r="K16">
        <f t="shared" si="1"/>
        <v>0.04</v>
      </c>
      <c r="L16">
        <f t="shared" si="0"/>
        <v>15.45</v>
      </c>
      <c r="M16">
        <f t="shared" si="0"/>
        <v>1.08</v>
      </c>
      <c r="N16">
        <f t="shared" si="0"/>
        <v>14.45</v>
      </c>
      <c r="O16">
        <f t="shared" si="0"/>
        <v>1.07</v>
      </c>
      <c r="P16">
        <f t="shared" si="0"/>
        <v>2.56</v>
      </c>
      <c r="Q16">
        <f t="shared" si="0"/>
        <v>0.19</v>
      </c>
    </row>
    <row r="17" spans="1:17" x14ac:dyDescent="0.3">
      <c r="A17" t="s">
        <v>14</v>
      </c>
      <c r="B17">
        <f t="shared" ref="B17:Q19" si="2">+ROUND(B10,2)</f>
        <v>8.99</v>
      </c>
      <c r="C17">
        <f t="shared" si="2"/>
        <v>1.89</v>
      </c>
      <c r="D17">
        <f t="shared" ref="D17:E19" si="3">+ROUND(D10,1)</f>
        <v>477.5</v>
      </c>
      <c r="E17">
        <f t="shared" si="3"/>
        <v>93</v>
      </c>
      <c r="F17">
        <f t="shared" ref="F17:G19" si="4">+ROUND(F10*100,2)</f>
        <v>91.27</v>
      </c>
      <c r="G17">
        <f t="shared" si="4"/>
        <v>4.6100000000000003</v>
      </c>
      <c r="H17">
        <f t="shared" ref="H17:K17" si="5">+ROUND(H10,2)</f>
        <v>1.63</v>
      </c>
      <c r="I17">
        <f t="shared" si="5"/>
        <v>0.26</v>
      </c>
      <c r="J17">
        <f t="shared" si="5"/>
        <v>0.21</v>
      </c>
      <c r="K17">
        <f t="shared" si="5"/>
        <v>0.08</v>
      </c>
      <c r="L17">
        <f t="shared" si="2"/>
        <v>14.55</v>
      </c>
      <c r="M17">
        <f t="shared" si="2"/>
        <v>1.1100000000000001</v>
      </c>
      <c r="N17">
        <f t="shared" si="2"/>
        <v>10.02</v>
      </c>
      <c r="O17">
        <f t="shared" si="2"/>
        <v>0.87</v>
      </c>
      <c r="P17">
        <f t="shared" si="2"/>
        <v>2.11</v>
      </c>
      <c r="Q17">
        <f t="shared" si="2"/>
        <v>0.23</v>
      </c>
    </row>
    <row r="18" spans="1:17" x14ac:dyDescent="0.3">
      <c r="A18" t="s">
        <v>15</v>
      </c>
      <c r="B18">
        <f t="shared" si="2"/>
        <v>17.04</v>
      </c>
      <c r="C18">
        <f t="shared" si="2"/>
        <v>1.55</v>
      </c>
      <c r="D18">
        <f t="shared" si="3"/>
        <v>756</v>
      </c>
      <c r="E18">
        <f t="shared" si="3"/>
        <v>111.4</v>
      </c>
      <c r="F18">
        <f t="shared" si="4"/>
        <v>69.97</v>
      </c>
      <c r="G18">
        <f t="shared" si="4"/>
        <v>6.75</v>
      </c>
      <c r="H18">
        <f t="shared" ref="H18:K18" si="6">+ROUND(H11,2)</f>
        <v>3.5</v>
      </c>
      <c r="I18">
        <f t="shared" si="6"/>
        <v>0.46</v>
      </c>
      <c r="J18">
        <f t="shared" si="6"/>
        <v>0.55000000000000004</v>
      </c>
      <c r="K18">
        <f t="shared" si="6"/>
        <v>0.09</v>
      </c>
      <c r="L18">
        <f t="shared" si="2"/>
        <v>16.52</v>
      </c>
      <c r="M18">
        <f t="shared" si="2"/>
        <v>1.04</v>
      </c>
      <c r="N18">
        <f t="shared" si="2"/>
        <v>11.41</v>
      </c>
      <c r="O18">
        <f t="shared" si="2"/>
        <v>0.96</v>
      </c>
      <c r="P18">
        <f t="shared" si="2"/>
        <v>1.71</v>
      </c>
      <c r="Q18">
        <f t="shared" si="2"/>
        <v>0.19</v>
      </c>
    </row>
    <row r="19" spans="1:17" x14ac:dyDescent="0.3">
      <c r="A19" t="s">
        <v>16</v>
      </c>
      <c r="B19">
        <f t="shared" si="2"/>
        <v>13.48</v>
      </c>
      <c r="C19">
        <f t="shared" si="2"/>
        <v>3.34</v>
      </c>
      <c r="D19">
        <f t="shared" si="3"/>
        <v>226.8</v>
      </c>
      <c r="E19">
        <f t="shared" si="3"/>
        <v>20.3</v>
      </c>
      <c r="F19">
        <f t="shared" si="4"/>
        <v>0</v>
      </c>
      <c r="G19">
        <f t="shared" si="2"/>
        <v>0</v>
      </c>
      <c r="H19">
        <f t="shared" ref="H19:K19" si="7">+ROUND(H12,2)</f>
        <v>1.25</v>
      </c>
      <c r="I19">
        <f t="shared" si="7"/>
        <v>0.16</v>
      </c>
      <c r="J19">
        <f t="shared" si="7"/>
        <v>0.11</v>
      </c>
      <c r="K19">
        <f t="shared" si="7"/>
        <v>7.0000000000000007E-2</v>
      </c>
      <c r="L19">
        <f t="shared" si="2"/>
        <v>25.52</v>
      </c>
      <c r="M19">
        <f t="shared" si="2"/>
        <v>3.16</v>
      </c>
      <c r="N19">
        <f t="shared" si="2"/>
        <v>7.48</v>
      </c>
      <c r="O19">
        <f t="shared" si="2"/>
        <v>0.83</v>
      </c>
      <c r="P19">
        <f t="shared" si="2"/>
        <v>2.62</v>
      </c>
      <c r="Q19">
        <f t="shared" si="2"/>
        <v>0.13</v>
      </c>
    </row>
    <row r="22" spans="1:17" s="1" customFormat="1" ht="28.8" x14ac:dyDescent="0.3">
      <c r="A22" s="1" t="s">
        <v>0</v>
      </c>
      <c r="B22" s="1" t="s">
        <v>17</v>
      </c>
      <c r="C22" s="1" t="s">
        <v>1</v>
      </c>
      <c r="D22" s="1" t="s">
        <v>18</v>
      </c>
      <c r="E22" s="1" t="s">
        <v>3</v>
      </c>
      <c r="F22" s="1" t="s">
        <v>23</v>
      </c>
      <c r="G22" s="1" t="s">
        <v>5</v>
      </c>
      <c r="H22" s="1" t="s">
        <v>93</v>
      </c>
      <c r="I22" s="1" t="s">
        <v>90</v>
      </c>
      <c r="J22" s="1" t="s">
        <v>94</v>
      </c>
      <c r="K22" t="s">
        <v>92</v>
      </c>
      <c r="L22" s="1" t="s">
        <v>20</v>
      </c>
      <c r="M22" s="1" t="s">
        <v>8</v>
      </c>
      <c r="N22" s="1" t="s">
        <v>21</v>
      </c>
      <c r="O22" s="1" t="s">
        <v>10</v>
      </c>
      <c r="P22" s="1" t="s">
        <v>22</v>
      </c>
      <c r="Q22" s="1" t="s">
        <v>12</v>
      </c>
    </row>
    <row r="23" spans="1:17" x14ac:dyDescent="0.3">
      <c r="A23" t="s">
        <v>13</v>
      </c>
      <c r="B23" t="str">
        <f>+CONCATENATE(B16, " ± ",C16)</f>
        <v>10.88 ± 1.29</v>
      </c>
      <c r="D23" t="str">
        <f>+CONCATENATE(D16, " ± ",E16)</f>
        <v>537.1 ± 39.6</v>
      </c>
      <c r="F23" t="str">
        <f>+CONCATENATE(F16, " ± ",G16)</f>
        <v>95.37 ± 2.36</v>
      </c>
      <c r="H23" t="str">
        <f>+CONCATENATE(H16, " ± ",I16)</f>
        <v>1.5 ± 0.27</v>
      </c>
      <c r="J23" t="str">
        <f>+CONCATENATE(J16, " ± ",K16)</f>
        <v>0.08 ± 0.04</v>
      </c>
      <c r="L23" t="str">
        <f>+CONCATENATE(L16, " ± ",M16)</f>
        <v>15.45 ± 1.08</v>
      </c>
      <c r="N23" t="str">
        <f>+CONCATENATE(N16, " ± ",O16)</f>
        <v>14.45 ± 1.07</v>
      </c>
      <c r="P23" t="str">
        <f>+CONCATENATE(P16, " ± ",Q16)</f>
        <v>2.56 ± 0.19</v>
      </c>
    </row>
    <row r="24" spans="1:17" x14ac:dyDescent="0.3">
      <c r="A24" t="s">
        <v>14</v>
      </c>
      <c r="B24" t="str">
        <f t="shared" ref="B24:D26" si="8">+CONCATENATE(B17, " ± ",C17)</f>
        <v>8.99 ± 1.89</v>
      </c>
      <c r="D24" t="str">
        <f t="shared" si="8"/>
        <v>477.5 ± 93</v>
      </c>
      <c r="F24" t="str">
        <f t="shared" ref="F24:J24" si="9">+CONCATENATE(F17, " ± ",G17)</f>
        <v>91.27 ± 4.61</v>
      </c>
      <c r="H24" t="str">
        <f t="shared" si="9"/>
        <v>1.63 ± 0.26</v>
      </c>
      <c r="J24" t="str">
        <f t="shared" si="9"/>
        <v>0.21 ± 0.08</v>
      </c>
      <c r="L24" t="str">
        <f t="shared" ref="L24" si="10">+CONCATENATE(L17, " ± ",M17)</f>
        <v>14.55 ± 1.11</v>
      </c>
      <c r="N24" t="str">
        <f t="shared" ref="N24" si="11">+CONCATENATE(N17, " ± ",O17)</f>
        <v>10.02 ± 0.87</v>
      </c>
      <c r="P24" t="str">
        <f t="shared" ref="P24" si="12">+CONCATENATE(P17, " ± ",Q17)</f>
        <v>2.11 ± 0.23</v>
      </c>
    </row>
    <row r="25" spans="1:17" x14ac:dyDescent="0.3">
      <c r="A25" t="s">
        <v>15</v>
      </c>
      <c r="B25" t="str">
        <f t="shared" si="8"/>
        <v>17.04 ± 1.55</v>
      </c>
      <c r="D25" t="str">
        <f t="shared" si="8"/>
        <v>756 ± 111.4</v>
      </c>
      <c r="F25" t="str">
        <f t="shared" ref="F25:J25" si="13">+CONCATENATE(F18, " ± ",G18)</f>
        <v>69.97 ± 6.75</v>
      </c>
      <c r="H25" t="str">
        <f t="shared" si="13"/>
        <v>3.5 ± 0.46</v>
      </c>
      <c r="J25" t="str">
        <f t="shared" si="13"/>
        <v>0.55 ± 0.09</v>
      </c>
      <c r="L25" t="str">
        <f t="shared" ref="L25" si="14">+CONCATENATE(L18, " ± ",M18)</f>
        <v>16.52 ± 1.04</v>
      </c>
      <c r="N25" t="str">
        <f t="shared" ref="N25" si="15">+CONCATENATE(N18, " ± ",O18)</f>
        <v>11.41 ± 0.96</v>
      </c>
      <c r="P25" t="str">
        <f t="shared" ref="P25" si="16">+CONCATENATE(P18, " ± ",Q18)</f>
        <v>1.71 ± 0.19</v>
      </c>
    </row>
    <row r="26" spans="1:17" x14ac:dyDescent="0.3">
      <c r="A26" t="s">
        <v>16</v>
      </c>
      <c r="B26" t="str">
        <f t="shared" si="8"/>
        <v>13.48 ± 3.34</v>
      </c>
      <c r="D26" t="str">
        <f t="shared" si="8"/>
        <v>226.8 ± 20.3</v>
      </c>
      <c r="F26" t="str">
        <f t="shared" ref="F26:J26" si="17">+CONCATENATE(F19, " ± ",G19)</f>
        <v>0 ± 0</v>
      </c>
      <c r="H26" t="str">
        <f t="shared" si="17"/>
        <v>1.25 ± 0.16</v>
      </c>
      <c r="J26" t="str">
        <f t="shared" si="17"/>
        <v>0.11 ± 0.07</v>
      </c>
      <c r="L26" t="str">
        <f t="shared" ref="L26" si="18">+CONCATENATE(L19, " ± ",M19)</f>
        <v>25.52 ± 3.16</v>
      </c>
      <c r="N26" t="str">
        <f t="shared" ref="N26" si="19">+CONCATENATE(N19, " ± ",O19)</f>
        <v>7.48 ± 0.83</v>
      </c>
      <c r="P26" t="str">
        <f t="shared" ref="P26" si="20">+CONCATENATE(P19, " ± ",Q19)</f>
        <v>2.62 ± 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tabSelected="1" workbookViewId="0">
      <selection activeCell="I19" sqref="I19"/>
    </sheetView>
  </sheetViews>
  <sheetFormatPr baseColWidth="10" defaultRowHeight="14.4" x14ac:dyDescent="0.3"/>
  <cols>
    <col min="2" max="2" width="16.109375" customWidth="1"/>
    <col min="3" max="3" width="15.44140625" customWidth="1"/>
    <col min="4" max="4" width="14.44140625" customWidth="1"/>
    <col min="5" max="5" width="14.33203125" customWidth="1"/>
    <col min="6" max="6" width="15.21875" customWidth="1"/>
    <col min="7" max="7" width="12.77734375" customWidth="1"/>
    <col min="8" max="8" width="13.77734375" customWidth="1"/>
    <col min="9" max="9" width="14.77734375" customWidth="1"/>
  </cols>
  <sheetData>
    <row r="1" spans="1:9" s="1" customFormat="1" ht="28.8" x14ac:dyDescent="0.3">
      <c r="A1" s="1" t="s">
        <v>0</v>
      </c>
      <c r="B1" s="1" t="s">
        <v>17</v>
      </c>
      <c r="C1" s="1" t="s">
        <v>18</v>
      </c>
      <c r="D1" s="1" t="s">
        <v>23</v>
      </c>
      <c r="E1" s="15" t="s">
        <v>20</v>
      </c>
      <c r="F1" t="s">
        <v>21</v>
      </c>
      <c r="G1" s="13" t="s">
        <v>22</v>
      </c>
      <c r="H1" s="11" t="s">
        <v>93</v>
      </c>
      <c r="I1" s="11" t="s">
        <v>94</v>
      </c>
    </row>
    <row r="2" spans="1:9" x14ac:dyDescent="0.3">
      <c r="A2" t="s">
        <v>13</v>
      </c>
      <c r="B2" t="s">
        <v>132</v>
      </c>
      <c r="C2" t="s">
        <v>163</v>
      </c>
      <c r="D2" t="s">
        <v>189</v>
      </c>
      <c r="E2" s="16" t="s">
        <v>314</v>
      </c>
      <c r="F2" t="s">
        <v>95</v>
      </c>
      <c r="G2" s="14" t="s">
        <v>333</v>
      </c>
      <c r="H2" s="12" t="s">
        <v>239</v>
      </c>
      <c r="I2" s="12" t="s">
        <v>268</v>
      </c>
    </row>
    <row r="3" spans="1:9" x14ac:dyDescent="0.3">
      <c r="A3" t="s">
        <v>14</v>
      </c>
      <c r="B3" t="s">
        <v>133</v>
      </c>
      <c r="C3" t="s">
        <v>164</v>
      </c>
      <c r="D3" t="s">
        <v>190</v>
      </c>
      <c r="E3" s="16" t="s">
        <v>315</v>
      </c>
      <c r="F3" t="s">
        <v>96</v>
      </c>
      <c r="G3" s="14" t="s">
        <v>332</v>
      </c>
      <c r="H3" s="12" t="s">
        <v>241</v>
      </c>
      <c r="I3" s="12" t="s">
        <v>269</v>
      </c>
    </row>
    <row r="4" spans="1:9" x14ac:dyDescent="0.3">
      <c r="A4" t="s">
        <v>15</v>
      </c>
      <c r="B4" t="s">
        <v>134</v>
      </c>
      <c r="C4" t="s">
        <v>165</v>
      </c>
      <c r="D4" t="s">
        <v>191</v>
      </c>
      <c r="E4" s="16" t="s">
        <v>316</v>
      </c>
      <c r="F4" t="s">
        <v>97</v>
      </c>
      <c r="G4" s="14" t="s">
        <v>331</v>
      </c>
      <c r="H4" s="12" t="s">
        <v>242</v>
      </c>
      <c r="I4" s="12" t="s">
        <v>270</v>
      </c>
    </row>
    <row r="5" spans="1:9" x14ac:dyDescent="0.3">
      <c r="A5" t="s">
        <v>16</v>
      </c>
      <c r="B5" t="s">
        <v>135</v>
      </c>
      <c r="C5" t="s">
        <v>166</v>
      </c>
      <c r="D5" t="s">
        <v>99</v>
      </c>
      <c r="E5" s="16" t="s">
        <v>317</v>
      </c>
      <c r="F5" t="s">
        <v>98</v>
      </c>
      <c r="G5" s="14" t="s">
        <v>334</v>
      </c>
      <c r="H5" s="12" t="s">
        <v>240</v>
      </c>
      <c r="I5" s="12" t="s">
        <v>271</v>
      </c>
    </row>
    <row r="6" spans="1:9" x14ac:dyDescent="0.3">
      <c r="A6" t="s">
        <v>26</v>
      </c>
      <c r="B6" t="s">
        <v>162</v>
      </c>
      <c r="C6" t="s">
        <v>161</v>
      </c>
      <c r="D6" t="s">
        <v>179</v>
      </c>
      <c r="H6" s="12" t="s">
        <v>229</v>
      </c>
      <c r="I6" s="12" t="s">
        <v>254</v>
      </c>
    </row>
    <row r="7" spans="1:9" x14ac:dyDescent="0.3">
      <c r="A7" t="s">
        <v>30</v>
      </c>
      <c r="E7" t="s">
        <v>59</v>
      </c>
      <c r="F7" t="s">
        <v>42</v>
      </c>
      <c r="G7" t="s">
        <v>87</v>
      </c>
    </row>
    <row r="10" spans="1:9" x14ac:dyDescent="0.3">
      <c r="B10" t="s">
        <v>136</v>
      </c>
      <c r="C10" t="s">
        <v>136</v>
      </c>
      <c r="E10" t="s">
        <v>52</v>
      </c>
      <c r="F10" t="s">
        <v>52</v>
      </c>
      <c r="G10" t="s">
        <v>88</v>
      </c>
    </row>
    <row r="14" spans="1:9" x14ac:dyDescent="0.3">
      <c r="A14" t="s">
        <v>294</v>
      </c>
    </row>
    <row r="15" spans="1:9" x14ac:dyDescent="0.3">
      <c r="A15" t="s">
        <v>0</v>
      </c>
      <c r="B15" t="s">
        <v>17</v>
      </c>
      <c r="C15" t="s">
        <v>18</v>
      </c>
      <c r="E15" t="s">
        <v>20</v>
      </c>
      <c r="F15" t="s">
        <v>21</v>
      </c>
      <c r="G15" t="s">
        <v>22</v>
      </c>
    </row>
    <row r="16" spans="1:9" x14ac:dyDescent="0.3">
      <c r="A16" t="s">
        <v>13</v>
      </c>
      <c r="B16" t="s">
        <v>272</v>
      </c>
      <c r="C16" t="s">
        <v>273</v>
      </c>
      <c r="E16" t="s">
        <v>274</v>
      </c>
      <c r="F16" t="s">
        <v>287</v>
      </c>
      <c r="G16" t="s">
        <v>291</v>
      </c>
    </row>
    <row r="17" spans="1:7" x14ac:dyDescent="0.3">
      <c r="A17" t="s">
        <v>14</v>
      </c>
      <c r="B17" t="s">
        <v>275</v>
      </c>
      <c r="C17" t="s">
        <v>276</v>
      </c>
      <c r="E17" t="s">
        <v>277</v>
      </c>
      <c r="F17" t="s">
        <v>288</v>
      </c>
      <c r="G17" t="s">
        <v>292</v>
      </c>
    </row>
    <row r="18" spans="1:7" x14ac:dyDescent="0.3">
      <c r="A18" t="s">
        <v>15</v>
      </c>
      <c r="B18" t="s">
        <v>278</v>
      </c>
      <c r="C18" t="s">
        <v>279</v>
      </c>
      <c r="E18" t="s">
        <v>280</v>
      </c>
      <c r="F18" t="s">
        <v>289</v>
      </c>
      <c r="G18" t="s">
        <v>293</v>
      </c>
    </row>
    <row r="19" spans="1:7" x14ac:dyDescent="0.3">
      <c r="A19" t="s">
        <v>281</v>
      </c>
      <c r="B19" t="s">
        <v>282</v>
      </c>
      <c r="C19" t="s">
        <v>283</v>
      </c>
    </row>
    <row r="20" spans="1:7" x14ac:dyDescent="0.3">
      <c r="A20" t="s">
        <v>284</v>
      </c>
      <c r="E20" t="s">
        <v>285</v>
      </c>
      <c r="F20" t="s">
        <v>286</v>
      </c>
      <c r="G20" t="s">
        <v>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45B6-4365-4FCE-AB84-0A4ED1AAA61A}">
  <dimension ref="A1:K27"/>
  <sheetViews>
    <sheetView workbookViewId="0">
      <selection activeCell="A22" sqref="A22:F27"/>
    </sheetView>
  </sheetViews>
  <sheetFormatPr baseColWidth="10" defaultRowHeight="14.4" x14ac:dyDescent="0.3"/>
  <sheetData>
    <row r="1" spans="1:11" x14ac:dyDescent="0.3">
      <c r="A1" t="s">
        <v>0</v>
      </c>
      <c r="B1" t="s">
        <v>24</v>
      </c>
      <c r="C1" t="s">
        <v>1</v>
      </c>
      <c r="D1" t="s">
        <v>2</v>
      </c>
      <c r="E1" t="s">
        <v>3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A2" t="s">
        <v>13</v>
      </c>
      <c r="B2">
        <v>10.640256654313101</v>
      </c>
      <c r="C2">
        <v>1.1881676639841601</v>
      </c>
      <c r="D2">
        <v>517.25356504865999</v>
      </c>
      <c r="E2">
        <v>47.651653672237003</v>
      </c>
      <c r="F2">
        <v>15.7667304845889</v>
      </c>
      <c r="G2">
        <v>1.18457460036856</v>
      </c>
      <c r="H2">
        <v>14.832572868308199</v>
      </c>
      <c r="I2">
        <v>1.01085684586915</v>
      </c>
      <c r="J2">
        <v>2.5457728545963798</v>
      </c>
      <c r="K2">
        <v>0.193207356226305</v>
      </c>
    </row>
    <row r="3" spans="1:11" x14ac:dyDescent="0.3">
      <c r="A3" t="s">
        <v>14</v>
      </c>
      <c r="B3">
        <v>8.2308969370846903</v>
      </c>
      <c r="C3">
        <v>1.63739785482342</v>
      </c>
      <c r="D3">
        <v>413.80285203892799</v>
      </c>
      <c r="E3">
        <v>60.154914192541803</v>
      </c>
      <c r="F3">
        <v>14.7598407658518</v>
      </c>
      <c r="G3">
        <v>1.1077348659162201</v>
      </c>
      <c r="H3">
        <v>10.3062352559721</v>
      </c>
      <c r="I3">
        <v>0.82752210600424103</v>
      </c>
      <c r="J3">
        <v>1.97470927765045</v>
      </c>
      <c r="K3">
        <v>0.27805638647879499</v>
      </c>
    </row>
    <row r="4" spans="1:11" x14ac:dyDescent="0.3">
      <c r="A4" t="s">
        <v>15</v>
      </c>
      <c r="B4">
        <v>14.265634820220701</v>
      </c>
      <c r="C4">
        <v>1.84160785079087</v>
      </c>
      <c r="D4">
        <v>572.957795130823</v>
      </c>
      <c r="E4">
        <v>112.217537315974</v>
      </c>
      <c r="F4">
        <v>18.779807513442101</v>
      </c>
      <c r="G4">
        <v>2.2783973771363901</v>
      </c>
      <c r="H4">
        <v>13.664074754902</v>
      </c>
      <c r="I4">
        <v>0.70658034019781801</v>
      </c>
      <c r="J4">
        <v>1.23368974439509</v>
      </c>
      <c r="K4">
        <v>0.203194404922897</v>
      </c>
    </row>
    <row r="8" spans="1:11" s="1" customFormat="1" ht="28.8" x14ac:dyDescent="0.3">
      <c r="A8" s="1" t="s">
        <v>0</v>
      </c>
      <c r="B8" s="1" t="s">
        <v>17</v>
      </c>
      <c r="C8" s="1" t="s">
        <v>1</v>
      </c>
      <c r="D8" s="1" t="s">
        <v>18</v>
      </c>
      <c r="E8" s="1" t="s">
        <v>3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</row>
    <row r="9" spans="1:11" x14ac:dyDescent="0.3">
      <c r="A9" t="s">
        <v>13</v>
      </c>
      <c r="B9">
        <f>+ROUND(B2,2)</f>
        <v>10.64</v>
      </c>
      <c r="C9">
        <f t="shared" ref="C9:K9" si="0">+ROUND(C2,2)</f>
        <v>1.19</v>
      </c>
      <c r="D9">
        <f>+ROUND(D2,1)</f>
        <v>517.29999999999995</v>
      </c>
      <c r="E9">
        <f>+ROUND(E2,1)</f>
        <v>47.7</v>
      </c>
      <c r="F9">
        <f t="shared" ref="F9:H9" si="1">+ROUND(F2,2)</f>
        <v>15.77</v>
      </c>
      <c r="G9">
        <f t="shared" si="1"/>
        <v>1.18</v>
      </c>
      <c r="H9">
        <f t="shared" si="1"/>
        <v>14.83</v>
      </c>
      <c r="I9">
        <f t="shared" si="0"/>
        <v>1.01</v>
      </c>
      <c r="J9">
        <f t="shared" si="0"/>
        <v>2.5499999999999998</v>
      </c>
      <c r="K9">
        <f t="shared" si="0"/>
        <v>0.19</v>
      </c>
    </row>
    <row r="10" spans="1:11" x14ac:dyDescent="0.3">
      <c r="A10" t="s">
        <v>14</v>
      </c>
      <c r="B10">
        <f t="shared" ref="B10:K11" si="2">+ROUND(B3,2)</f>
        <v>8.23</v>
      </c>
      <c r="C10">
        <f t="shared" si="2"/>
        <v>1.64</v>
      </c>
      <c r="D10">
        <f t="shared" ref="D10:E11" si="3">+ROUND(D3,1)</f>
        <v>413.8</v>
      </c>
      <c r="E10">
        <f t="shared" si="3"/>
        <v>60.2</v>
      </c>
      <c r="F10">
        <f t="shared" ref="F10:H11" si="4">+ROUND(F3,2)</f>
        <v>14.76</v>
      </c>
      <c r="G10">
        <f t="shared" si="4"/>
        <v>1.1100000000000001</v>
      </c>
      <c r="H10">
        <f t="shared" si="4"/>
        <v>10.31</v>
      </c>
      <c r="I10">
        <f t="shared" si="2"/>
        <v>0.83</v>
      </c>
      <c r="J10">
        <f t="shared" si="2"/>
        <v>1.97</v>
      </c>
      <c r="K10">
        <f t="shared" si="2"/>
        <v>0.28000000000000003</v>
      </c>
    </row>
    <row r="11" spans="1:11" x14ac:dyDescent="0.3">
      <c r="A11" t="s">
        <v>15</v>
      </c>
      <c r="B11">
        <f t="shared" si="2"/>
        <v>14.27</v>
      </c>
      <c r="C11">
        <f t="shared" si="2"/>
        <v>1.84</v>
      </c>
      <c r="D11">
        <f t="shared" si="3"/>
        <v>573</v>
      </c>
      <c r="E11">
        <f t="shared" si="3"/>
        <v>112.2</v>
      </c>
      <c r="F11">
        <f t="shared" si="4"/>
        <v>18.78</v>
      </c>
      <c r="G11">
        <f t="shared" si="4"/>
        <v>2.2799999999999998</v>
      </c>
      <c r="H11">
        <f t="shared" si="4"/>
        <v>13.66</v>
      </c>
      <c r="I11">
        <f t="shared" si="2"/>
        <v>0.71</v>
      </c>
      <c r="J11">
        <f t="shared" si="2"/>
        <v>1.23</v>
      </c>
      <c r="K11">
        <f t="shared" si="2"/>
        <v>0.2</v>
      </c>
    </row>
    <row r="15" spans="1:11" s="1" customFormat="1" ht="28.8" x14ac:dyDescent="0.3">
      <c r="A15" s="1" t="s">
        <v>0</v>
      </c>
      <c r="B15" s="1" t="s">
        <v>17</v>
      </c>
      <c r="C15" s="1" t="s">
        <v>1</v>
      </c>
      <c r="D15" s="1" t="s">
        <v>18</v>
      </c>
      <c r="E15" s="1" t="s">
        <v>3</v>
      </c>
      <c r="F15" s="1" t="s">
        <v>20</v>
      </c>
      <c r="G15" s="1" t="s">
        <v>8</v>
      </c>
      <c r="H15" s="1" t="s">
        <v>21</v>
      </c>
      <c r="I15" s="1" t="s">
        <v>10</v>
      </c>
      <c r="J15" s="1" t="s">
        <v>22</v>
      </c>
      <c r="K15" s="1" t="s">
        <v>12</v>
      </c>
    </row>
    <row r="16" spans="1:11" x14ac:dyDescent="0.3">
      <c r="A16" t="s">
        <v>13</v>
      </c>
      <c r="B16" t="str">
        <f>+CONCATENATE(B9, " ± ",C9)</f>
        <v>10.64 ± 1.19</v>
      </c>
      <c r="D16" t="str">
        <f>+CONCATENATE(D9, " ± ",E9)</f>
        <v>517.3 ± 47.7</v>
      </c>
      <c r="F16" t="str">
        <f>+CONCATENATE(F9, " ± ",G9)</f>
        <v>15.77 ± 1.18</v>
      </c>
      <c r="H16" t="str">
        <f>+CONCATENATE(H9, " ± ",I9)</f>
        <v>14.83 ± 1.01</v>
      </c>
      <c r="J16" t="str">
        <f>+CONCATENATE(J9, " ± ",K9)</f>
        <v>2.55 ± 0.19</v>
      </c>
    </row>
    <row r="17" spans="1:10" x14ac:dyDescent="0.3">
      <c r="A17" t="s">
        <v>14</v>
      </c>
      <c r="B17" t="str">
        <f t="shared" ref="B17:D18" si="5">+CONCATENATE(B10, " ± ",C10)</f>
        <v>8.23 ± 1.64</v>
      </c>
      <c r="D17" t="str">
        <f t="shared" si="5"/>
        <v>413.8 ± 60.2</v>
      </c>
      <c r="F17" t="str">
        <f t="shared" ref="F17:J18" si="6">+CONCATENATE(F10, " ± ",G10)</f>
        <v>14.76 ± 1.11</v>
      </c>
      <c r="H17" t="str">
        <f t="shared" si="6"/>
        <v>10.31 ± 0.83</v>
      </c>
      <c r="J17" t="str">
        <f t="shared" si="6"/>
        <v>1.97 ± 0.28</v>
      </c>
    </row>
    <row r="18" spans="1:10" x14ac:dyDescent="0.3">
      <c r="A18" t="s">
        <v>15</v>
      </c>
      <c r="B18" t="str">
        <f t="shared" si="5"/>
        <v>14.27 ± 1.84</v>
      </c>
      <c r="D18" t="str">
        <f t="shared" si="5"/>
        <v>573 ± 112.2</v>
      </c>
      <c r="F18" t="str">
        <f t="shared" si="6"/>
        <v>18.78 ± 2.28</v>
      </c>
      <c r="H18" t="str">
        <f t="shared" si="6"/>
        <v>13.66 ± 0.71</v>
      </c>
      <c r="J18" t="str">
        <f t="shared" si="6"/>
        <v>1.23 ± 0.2</v>
      </c>
    </row>
    <row r="22" spans="1:10" x14ac:dyDescent="0.3">
      <c r="A22" t="s">
        <v>0</v>
      </c>
      <c r="B22" t="s">
        <v>17</v>
      </c>
      <c r="C22" t="s">
        <v>18</v>
      </c>
      <c r="D22" t="s">
        <v>20</v>
      </c>
      <c r="E22" t="s">
        <v>21</v>
      </c>
      <c r="F22" t="s">
        <v>22</v>
      </c>
    </row>
    <row r="23" spans="1:10" x14ac:dyDescent="0.3">
      <c r="A23" t="s">
        <v>13</v>
      </c>
      <c r="B23" t="s">
        <v>272</v>
      </c>
      <c r="C23" t="s">
        <v>273</v>
      </c>
      <c r="D23" t="s">
        <v>274</v>
      </c>
      <c r="E23" t="s">
        <v>287</v>
      </c>
      <c r="F23" t="s">
        <v>291</v>
      </c>
    </row>
    <row r="24" spans="1:10" x14ac:dyDescent="0.3">
      <c r="A24" t="s">
        <v>14</v>
      </c>
      <c r="B24" t="s">
        <v>275</v>
      </c>
      <c r="C24" t="s">
        <v>276</v>
      </c>
      <c r="D24" t="s">
        <v>277</v>
      </c>
      <c r="E24" t="s">
        <v>288</v>
      </c>
      <c r="F24" t="s">
        <v>292</v>
      </c>
    </row>
    <row r="25" spans="1:10" x14ac:dyDescent="0.3">
      <c r="A25" t="s">
        <v>15</v>
      </c>
      <c r="B25" t="s">
        <v>278</v>
      </c>
      <c r="C25" t="s">
        <v>279</v>
      </c>
      <c r="D25" t="s">
        <v>280</v>
      </c>
      <c r="E25" t="s">
        <v>289</v>
      </c>
      <c r="F25" t="s">
        <v>293</v>
      </c>
    </row>
    <row r="26" spans="1:10" x14ac:dyDescent="0.3">
      <c r="A26" t="s">
        <v>281</v>
      </c>
      <c r="B26" t="s">
        <v>282</v>
      </c>
      <c r="C26" t="s">
        <v>283</v>
      </c>
    </row>
    <row r="27" spans="1:10" x14ac:dyDescent="0.3">
      <c r="A27" t="s">
        <v>284</v>
      </c>
      <c r="D27" t="s">
        <v>285</v>
      </c>
      <c r="E27" t="s">
        <v>286</v>
      </c>
      <c r="F27" t="s">
        <v>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opLeftCell="A7" workbookViewId="0">
      <selection activeCell="I15" sqref="I15"/>
    </sheetView>
  </sheetViews>
  <sheetFormatPr baseColWidth="10" defaultRowHeight="14.4" x14ac:dyDescent="0.3"/>
  <sheetData>
    <row r="1" spans="1:8" x14ac:dyDescent="0.3">
      <c r="A1" t="s">
        <v>25</v>
      </c>
    </row>
    <row r="2" spans="1:8" x14ac:dyDescent="0.3">
      <c r="A2" t="s">
        <v>100</v>
      </c>
      <c r="H2" t="s">
        <v>101</v>
      </c>
    </row>
    <row r="3" spans="1:8" x14ac:dyDescent="0.3">
      <c r="A3" s="3" t="s">
        <v>102</v>
      </c>
      <c r="H3" t="s">
        <v>103</v>
      </c>
    </row>
    <row r="4" spans="1:8" x14ac:dyDescent="0.3">
      <c r="A4" s="4"/>
      <c r="H4" t="s">
        <v>104</v>
      </c>
    </row>
    <row r="5" spans="1:8" x14ac:dyDescent="0.3">
      <c r="A5" s="2"/>
    </row>
    <row r="6" spans="1:8" x14ac:dyDescent="0.3">
      <c r="A6" s="4"/>
    </row>
    <row r="7" spans="1:8" x14ac:dyDescent="0.3">
      <c r="A7" s="3" t="s">
        <v>105</v>
      </c>
    </row>
    <row r="8" spans="1:8" x14ac:dyDescent="0.3">
      <c r="A8" s="4" t="s">
        <v>106</v>
      </c>
    </row>
    <row r="9" spans="1:8" x14ac:dyDescent="0.3">
      <c r="A9" s="4" t="s">
        <v>107</v>
      </c>
    </row>
    <row r="10" spans="1:8" x14ac:dyDescent="0.3">
      <c r="A10" s="6" t="s">
        <v>108</v>
      </c>
      <c r="G10" t="s">
        <v>109</v>
      </c>
    </row>
    <row r="12" spans="1:8" x14ac:dyDescent="0.3">
      <c r="H12" s="3" t="s">
        <v>110</v>
      </c>
    </row>
    <row r="13" spans="1:8" x14ac:dyDescent="0.3">
      <c r="H13" s="4" t="s">
        <v>111</v>
      </c>
    </row>
    <row r="14" spans="1:8" x14ac:dyDescent="0.3">
      <c r="H14" s="4" t="s">
        <v>112</v>
      </c>
    </row>
    <row r="15" spans="1:8" x14ac:dyDescent="0.3">
      <c r="H15" s="4" t="s">
        <v>113</v>
      </c>
    </row>
    <row r="16" spans="1:8" x14ac:dyDescent="0.3">
      <c r="H16" s="6" t="s">
        <v>114</v>
      </c>
    </row>
    <row r="18" spans="8:8" x14ac:dyDescent="0.3">
      <c r="H18" s="3" t="s">
        <v>115</v>
      </c>
    </row>
    <row r="19" spans="8:8" x14ac:dyDescent="0.3">
      <c r="H19" s="4" t="s">
        <v>116</v>
      </c>
    </row>
    <row r="20" spans="8:8" x14ac:dyDescent="0.3">
      <c r="H20" s="4" t="s">
        <v>117</v>
      </c>
    </row>
    <row r="21" spans="8:8" x14ac:dyDescent="0.3">
      <c r="H21" s="4" t="s">
        <v>118</v>
      </c>
    </row>
    <row r="22" spans="8:8" x14ac:dyDescent="0.3">
      <c r="H22" s="4" t="s">
        <v>119</v>
      </c>
    </row>
    <row r="23" spans="8:8" x14ac:dyDescent="0.3">
      <c r="H23" s="4" t="s">
        <v>120</v>
      </c>
    </row>
    <row r="24" spans="8:8" x14ac:dyDescent="0.3">
      <c r="H24" s="4" t="s">
        <v>121</v>
      </c>
    </row>
    <row r="25" spans="8:8" x14ac:dyDescent="0.3">
      <c r="H25" s="2"/>
    </row>
    <row r="26" spans="8:8" x14ac:dyDescent="0.3">
      <c r="H26" s="4" t="s">
        <v>122</v>
      </c>
    </row>
    <row r="27" spans="8:8" x14ac:dyDescent="0.3">
      <c r="H27" s="4" t="s">
        <v>123</v>
      </c>
    </row>
    <row r="28" spans="8:8" x14ac:dyDescent="0.3">
      <c r="H28" s="2"/>
    </row>
    <row r="29" spans="8:8" x14ac:dyDescent="0.3">
      <c r="H29" s="4" t="s">
        <v>124</v>
      </c>
    </row>
    <row r="30" spans="8:8" x14ac:dyDescent="0.3">
      <c r="H30" s="4" t="s">
        <v>125</v>
      </c>
    </row>
    <row r="31" spans="8:8" x14ac:dyDescent="0.3">
      <c r="H31" s="4" t="s">
        <v>126</v>
      </c>
    </row>
    <row r="32" spans="8:8" x14ac:dyDescent="0.3">
      <c r="H32" s="4" t="s">
        <v>127</v>
      </c>
    </row>
    <row r="33" spans="8:8" x14ac:dyDescent="0.3">
      <c r="H33" s="4" t="s">
        <v>128</v>
      </c>
    </row>
    <row r="34" spans="8:8" x14ac:dyDescent="0.3">
      <c r="H34" s="4" t="s">
        <v>129</v>
      </c>
    </row>
    <row r="35" spans="8:8" x14ac:dyDescent="0.3">
      <c r="H35" s="4" t="s">
        <v>130</v>
      </c>
    </row>
    <row r="36" spans="8:8" x14ac:dyDescent="0.3">
      <c r="H36" s="6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workbookViewId="0">
      <selection activeCell="A17" sqref="A17:A35"/>
    </sheetView>
  </sheetViews>
  <sheetFormatPr baseColWidth="10" defaultRowHeight="14.4" x14ac:dyDescent="0.3"/>
  <sheetData>
    <row r="1" spans="1:8" x14ac:dyDescent="0.3">
      <c r="A1" t="s">
        <v>27</v>
      </c>
    </row>
    <row r="2" spans="1:8" x14ac:dyDescent="0.3">
      <c r="A2" s="7"/>
    </row>
    <row r="3" spans="1:8" x14ac:dyDescent="0.3">
      <c r="A3" s="7" t="s">
        <v>137</v>
      </c>
    </row>
    <row r="4" spans="1:8" x14ac:dyDescent="0.3">
      <c r="A4" s="7" t="s">
        <v>138</v>
      </c>
    </row>
    <row r="5" spans="1:8" x14ac:dyDescent="0.3">
      <c r="A5" s="7" t="s">
        <v>139</v>
      </c>
    </row>
    <row r="6" spans="1:8" x14ac:dyDescent="0.3">
      <c r="A6" s="7" t="s">
        <v>140</v>
      </c>
    </row>
    <row r="7" spans="1:8" x14ac:dyDescent="0.3">
      <c r="A7" s="8" t="s">
        <v>141</v>
      </c>
    </row>
    <row r="8" spans="1:8" x14ac:dyDescent="0.3">
      <c r="A8" s="8" t="s">
        <v>142</v>
      </c>
    </row>
    <row r="9" spans="1:8" x14ac:dyDescent="0.3">
      <c r="A9" s="8" t="s">
        <v>143</v>
      </c>
      <c r="H9" t="s">
        <v>144</v>
      </c>
    </row>
    <row r="10" spans="1:8" x14ac:dyDescent="0.3">
      <c r="A10" s="9"/>
    </row>
    <row r="11" spans="1:8" x14ac:dyDescent="0.3">
      <c r="A11" s="3" t="s">
        <v>145</v>
      </c>
    </row>
    <row r="12" spans="1:8" x14ac:dyDescent="0.3">
      <c r="A12" s="4" t="s">
        <v>111</v>
      </c>
    </row>
    <row r="13" spans="1:8" x14ac:dyDescent="0.3">
      <c r="A13" s="4" t="s">
        <v>112</v>
      </c>
    </row>
    <row r="14" spans="1:8" x14ac:dyDescent="0.3">
      <c r="A14" s="4" t="s">
        <v>146</v>
      </c>
    </row>
    <row r="15" spans="1:8" x14ac:dyDescent="0.3">
      <c r="A15" s="6" t="s">
        <v>147</v>
      </c>
    </row>
    <row r="17" spans="1:1" x14ac:dyDescent="0.3">
      <c r="A17" s="3" t="s">
        <v>148</v>
      </c>
    </row>
    <row r="18" spans="1:1" x14ac:dyDescent="0.3">
      <c r="A18" s="4" t="s">
        <v>116</v>
      </c>
    </row>
    <row r="19" spans="1:1" x14ac:dyDescent="0.3">
      <c r="A19" s="4" t="s">
        <v>149</v>
      </c>
    </row>
    <row r="20" spans="1:1" x14ac:dyDescent="0.3">
      <c r="A20" s="4" t="s">
        <v>150</v>
      </c>
    </row>
    <row r="21" spans="1:1" x14ac:dyDescent="0.3">
      <c r="A21" s="4" t="s">
        <v>151</v>
      </c>
    </row>
    <row r="22" spans="1:1" x14ac:dyDescent="0.3">
      <c r="A22" s="4" t="s">
        <v>152</v>
      </c>
    </row>
    <row r="23" spans="1:1" x14ac:dyDescent="0.3">
      <c r="A23" s="4" t="s">
        <v>153</v>
      </c>
    </row>
    <row r="24" spans="1:1" x14ac:dyDescent="0.3">
      <c r="A24" s="2"/>
    </row>
    <row r="25" spans="1:1" x14ac:dyDescent="0.3">
      <c r="A25" s="4" t="s">
        <v>122</v>
      </c>
    </row>
    <row r="26" spans="1:1" x14ac:dyDescent="0.3">
      <c r="A26" s="4" t="s">
        <v>123</v>
      </c>
    </row>
    <row r="27" spans="1:1" x14ac:dyDescent="0.3">
      <c r="A27" s="2"/>
    </row>
    <row r="28" spans="1:1" x14ac:dyDescent="0.3">
      <c r="A28" s="4" t="s">
        <v>124</v>
      </c>
    </row>
    <row r="29" spans="1:1" x14ac:dyDescent="0.3">
      <c r="A29" s="4" t="s">
        <v>154</v>
      </c>
    </row>
    <row r="30" spans="1:1" x14ac:dyDescent="0.3">
      <c r="A30" s="4" t="s">
        <v>155</v>
      </c>
    </row>
    <row r="31" spans="1:1" x14ac:dyDescent="0.3">
      <c r="A31" s="4" t="s">
        <v>156</v>
      </c>
    </row>
    <row r="32" spans="1:1" x14ac:dyDescent="0.3">
      <c r="A32" s="4" t="s">
        <v>157</v>
      </c>
    </row>
    <row r="33" spans="1:1" x14ac:dyDescent="0.3">
      <c r="A33" s="4" t="s">
        <v>158</v>
      </c>
    </row>
    <row r="34" spans="1:1" x14ac:dyDescent="0.3">
      <c r="A34" s="4" t="s">
        <v>159</v>
      </c>
    </row>
    <row r="35" spans="1:1" x14ac:dyDescent="0.3">
      <c r="A35" s="6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>
      <selection activeCell="A17" sqref="A17:A31"/>
    </sheetView>
  </sheetViews>
  <sheetFormatPr baseColWidth="10" defaultRowHeight="14.4" x14ac:dyDescent="0.3"/>
  <sheetData>
    <row r="1" spans="1:7" x14ac:dyDescent="0.3">
      <c r="A1" t="s">
        <v>19</v>
      </c>
    </row>
    <row r="3" spans="1:7" x14ac:dyDescent="0.3">
      <c r="A3" s="3" t="s">
        <v>167</v>
      </c>
    </row>
    <row r="4" spans="1:7" x14ac:dyDescent="0.3">
      <c r="A4" s="10" t="s">
        <v>168</v>
      </c>
    </row>
    <row r="5" spans="1:7" x14ac:dyDescent="0.3">
      <c r="A5" s="10" t="s">
        <v>169</v>
      </c>
    </row>
    <row r="6" spans="1:7" x14ac:dyDescent="0.3">
      <c r="A6" s="10" t="s">
        <v>170</v>
      </c>
    </row>
    <row r="7" spans="1:7" x14ac:dyDescent="0.3">
      <c r="A7" s="6" t="s">
        <v>171</v>
      </c>
    </row>
    <row r="8" spans="1:7" x14ac:dyDescent="0.3">
      <c r="A8" s="6" t="s">
        <v>172</v>
      </c>
    </row>
    <row r="9" spans="1:7" x14ac:dyDescent="0.3">
      <c r="A9" s="6" t="s">
        <v>173</v>
      </c>
      <c r="G9" t="s">
        <v>174</v>
      </c>
    </row>
    <row r="10" spans="1:7" x14ac:dyDescent="0.3">
      <c r="A10" s="6"/>
    </row>
    <row r="11" spans="1:7" x14ac:dyDescent="0.3">
      <c r="A11" s="3" t="s">
        <v>175</v>
      </c>
    </row>
    <row r="12" spans="1:7" x14ac:dyDescent="0.3">
      <c r="A12" s="4" t="s">
        <v>176</v>
      </c>
    </row>
    <row r="13" spans="1:7" x14ac:dyDescent="0.3">
      <c r="A13" s="4" t="s">
        <v>112</v>
      </c>
    </row>
    <row r="14" spans="1:7" x14ac:dyDescent="0.3">
      <c r="A14" s="4" t="s">
        <v>177</v>
      </c>
    </row>
    <row r="15" spans="1:7" x14ac:dyDescent="0.3">
      <c r="A15" s="6" t="s">
        <v>178</v>
      </c>
    </row>
    <row r="17" spans="1:1" x14ac:dyDescent="0.3">
      <c r="A17" s="3" t="s">
        <v>180</v>
      </c>
    </row>
    <row r="18" spans="1:1" x14ac:dyDescent="0.3">
      <c r="A18" s="4" t="s">
        <v>116</v>
      </c>
    </row>
    <row r="19" spans="1:1" x14ac:dyDescent="0.3">
      <c r="A19" s="4" t="s">
        <v>181</v>
      </c>
    </row>
    <row r="20" spans="1:1" x14ac:dyDescent="0.3">
      <c r="A20" s="4" t="s">
        <v>182</v>
      </c>
    </row>
    <row r="21" spans="1:1" x14ac:dyDescent="0.3">
      <c r="A21" s="4" t="s">
        <v>183</v>
      </c>
    </row>
    <row r="22" spans="1:1" x14ac:dyDescent="0.3">
      <c r="A22" s="4" t="s">
        <v>184</v>
      </c>
    </row>
    <row r="23" spans="1:1" x14ac:dyDescent="0.3">
      <c r="A23" s="2"/>
    </row>
    <row r="24" spans="1:1" x14ac:dyDescent="0.3">
      <c r="A24" s="4" t="s">
        <v>122</v>
      </c>
    </row>
    <row r="25" spans="1:1" x14ac:dyDescent="0.3">
      <c r="A25" s="4" t="s">
        <v>123</v>
      </c>
    </row>
    <row r="26" spans="1:1" x14ac:dyDescent="0.3">
      <c r="A26" s="2"/>
    </row>
    <row r="27" spans="1:1" x14ac:dyDescent="0.3">
      <c r="A27" s="4" t="s">
        <v>124</v>
      </c>
    </row>
    <row r="28" spans="1:1" x14ac:dyDescent="0.3">
      <c r="A28" s="4" t="s">
        <v>185</v>
      </c>
    </row>
    <row r="29" spans="1:1" x14ac:dyDescent="0.3">
      <c r="A29" s="4" t="s">
        <v>186</v>
      </c>
    </row>
    <row r="30" spans="1:1" x14ac:dyDescent="0.3">
      <c r="A30" s="4" t="s">
        <v>187</v>
      </c>
    </row>
    <row r="31" spans="1:1" x14ac:dyDescent="0.3">
      <c r="A31" s="4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7"/>
  <sheetViews>
    <sheetView topLeftCell="A40" workbookViewId="0">
      <selection activeCell="A64" sqref="A64"/>
    </sheetView>
  </sheetViews>
  <sheetFormatPr baseColWidth="10" defaultRowHeight="14.4" x14ac:dyDescent="0.3"/>
  <sheetData>
    <row r="1" spans="1:1" x14ac:dyDescent="0.3">
      <c r="A1" t="s">
        <v>53</v>
      </c>
    </row>
    <row r="3" spans="1:1" x14ac:dyDescent="0.3">
      <c r="A3" s="3" t="s">
        <v>55</v>
      </c>
    </row>
    <row r="4" spans="1:1" x14ac:dyDescent="0.3">
      <c r="A4" s="3" t="s">
        <v>56</v>
      </c>
    </row>
    <row r="5" spans="1:1" x14ac:dyDescent="0.3">
      <c r="A5" s="3" t="s">
        <v>57</v>
      </c>
    </row>
    <row r="6" spans="1:1" x14ac:dyDescent="0.3">
      <c r="A6" s="10" t="s">
        <v>58</v>
      </c>
    </row>
    <row r="7" spans="1:1" x14ac:dyDescent="0.3">
      <c r="A7" s="3" t="s">
        <v>295</v>
      </c>
    </row>
    <row r="8" spans="1:1" x14ac:dyDescent="0.3">
      <c r="A8" s="4" t="s">
        <v>296</v>
      </c>
    </row>
    <row r="9" spans="1:1" x14ac:dyDescent="0.3">
      <c r="A9" s="2"/>
    </row>
    <row r="10" spans="1:1" x14ac:dyDescent="0.3">
      <c r="A10" s="4" t="s">
        <v>54</v>
      </c>
    </row>
    <row r="11" spans="1:1" x14ac:dyDescent="0.3">
      <c r="A11" s="4" t="s">
        <v>297</v>
      </c>
    </row>
    <row r="12" spans="1:1" x14ac:dyDescent="0.3">
      <c r="A12" s="6" t="s">
        <v>298</v>
      </c>
    </row>
    <row r="13" spans="1:1" x14ac:dyDescent="0.3">
      <c r="A13" s="6"/>
    </row>
    <row r="46" spans="1:1" x14ac:dyDescent="0.3">
      <c r="A46" s="3" t="s">
        <v>299</v>
      </c>
    </row>
    <row r="47" spans="1:1" x14ac:dyDescent="0.3">
      <c r="A47" s="4" t="s">
        <v>116</v>
      </c>
    </row>
    <row r="48" spans="1:1" x14ac:dyDescent="0.3">
      <c r="A48" s="4" t="s">
        <v>300</v>
      </c>
    </row>
    <row r="49" spans="1:1" x14ac:dyDescent="0.3">
      <c r="A49" s="4" t="s">
        <v>301</v>
      </c>
    </row>
    <row r="50" spans="1:1" x14ac:dyDescent="0.3">
      <c r="A50" s="4" t="s">
        <v>302</v>
      </c>
    </row>
    <row r="51" spans="1:1" x14ac:dyDescent="0.3">
      <c r="A51" s="4" t="s">
        <v>303</v>
      </c>
    </row>
    <row r="52" spans="1:1" x14ac:dyDescent="0.3">
      <c r="A52" s="4" t="s">
        <v>304</v>
      </c>
    </row>
    <row r="53" spans="1:1" x14ac:dyDescent="0.3">
      <c r="A53" s="2"/>
    </row>
    <row r="54" spans="1:1" x14ac:dyDescent="0.3">
      <c r="A54" s="4" t="s">
        <v>123</v>
      </c>
    </row>
    <row r="55" spans="1:1" x14ac:dyDescent="0.3">
      <c r="A55" s="4" t="s">
        <v>305</v>
      </c>
    </row>
    <row r="56" spans="1:1" x14ac:dyDescent="0.3">
      <c r="A56" s="2"/>
    </row>
    <row r="57" spans="1:1" x14ac:dyDescent="0.3">
      <c r="A57" s="4" t="s">
        <v>124</v>
      </c>
    </row>
    <row r="58" spans="1:1" x14ac:dyDescent="0.3">
      <c r="A58" s="4" t="s">
        <v>232</v>
      </c>
    </row>
    <row r="59" spans="1:1" x14ac:dyDescent="0.3">
      <c r="A59" s="4" t="s">
        <v>306</v>
      </c>
    </row>
    <row r="60" spans="1:1" x14ac:dyDescent="0.3">
      <c r="A60" s="4" t="s">
        <v>307</v>
      </c>
    </row>
    <row r="61" spans="1:1" x14ac:dyDescent="0.3">
      <c r="A61" s="4" t="s">
        <v>308</v>
      </c>
    </row>
    <row r="62" spans="1:1" x14ac:dyDescent="0.3">
      <c r="A62" s="4" t="s">
        <v>309</v>
      </c>
    </row>
    <row r="63" spans="1:1" x14ac:dyDescent="0.3">
      <c r="A63" s="4" t="s">
        <v>310</v>
      </c>
    </row>
    <row r="64" spans="1:1" x14ac:dyDescent="0.3">
      <c r="A64" s="4" t="s">
        <v>311</v>
      </c>
    </row>
    <row r="65" spans="1:1" x14ac:dyDescent="0.3">
      <c r="A65" s="2"/>
    </row>
    <row r="66" spans="1:1" x14ac:dyDescent="0.3">
      <c r="A66" s="4" t="s">
        <v>312</v>
      </c>
    </row>
    <row r="67" spans="1:1" x14ac:dyDescent="0.3">
      <c r="A67" s="6" t="s">
        <v>313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84"/>
  <sheetViews>
    <sheetView topLeftCell="B52" workbookViewId="0">
      <selection activeCell="L76" sqref="L76:L84"/>
    </sheetView>
  </sheetViews>
  <sheetFormatPr baseColWidth="10" defaultRowHeight="14.4" x14ac:dyDescent="0.3"/>
  <sheetData>
    <row r="1" spans="1:12" x14ac:dyDescent="0.3">
      <c r="A1" t="s">
        <v>192</v>
      </c>
    </row>
    <row r="2" spans="1:12" x14ac:dyDescent="0.3">
      <c r="A2" t="s">
        <v>193</v>
      </c>
      <c r="L2" t="s">
        <v>209</v>
      </c>
    </row>
    <row r="4" spans="1:12" x14ac:dyDescent="0.3">
      <c r="A4" s="3" t="s">
        <v>194</v>
      </c>
    </row>
    <row r="5" spans="1:12" x14ac:dyDescent="0.3">
      <c r="A5" s="10" t="s">
        <v>195</v>
      </c>
      <c r="L5" s="3" t="s">
        <v>210</v>
      </c>
    </row>
    <row r="6" spans="1:12" x14ac:dyDescent="0.3">
      <c r="A6" s="5"/>
      <c r="L6" s="10" t="s">
        <v>211</v>
      </c>
    </row>
    <row r="7" spans="1:12" x14ac:dyDescent="0.3">
      <c r="A7" s="6" t="s">
        <v>196</v>
      </c>
      <c r="L7" s="5"/>
    </row>
    <row r="8" spans="1:12" x14ac:dyDescent="0.3">
      <c r="A8" s="6" t="s">
        <v>197</v>
      </c>
      <c r="L8" s="6" t="s">
        <v>196</v>
      </c>
    </row>
    <row r="9" spans="1:12" x14ac:dyDescent="0.3">
      <c r="A9" s="6" t="s">
        <v>198</v>
      </c>
      <c r="L9" s="6" t="s">
        <v>212</v>
      </c>
    </row>
    <row r="10" spans="1:12" x14ac:dyDescent="0.3">
      <c r="A10" s="5"/>
      <c r="L10" s="6" t="s">
        <v>198</v>
      </c>
    </row>
    <row r="11" spans="1:12" x14ac:dyDescent="0.3">
      <c r="A11" s="6" t="s">
        <v>71</v>
      </c>
      <c r="L11" s="5"/>
    </row>
    <row r="12" spans="1:12" x14ac:dyDescent="0.3">
      <c r="A12" s="6" t="s">
        <v>199</v>
      </c>
      <c r="L12" s="6" t="s">
        <v>71</v>
      </c>
    </row>
    <row r="13" spans="1:12" x14ac:dyDescent="0.3">
      <c r="A13" s="6" t="s">
        <v>200</v>
      </c>
      <c r="L13" s="6" t="s">
        <v>213</v>
      </c>
    </row>
    <row r="14" spans="1:12" x14ac:dyDescent="0.3">
      <c r="A14" s="6" t="s">
        <v>201</v>
      </c>
      <c r="L14" s="6" t="s">
        <v>214</v>
      </c>
    </row>
    <row r="15" spans="1:12" x14ac:dyDescent="0.3">
      <c r="A15" s="6" t="s">
        <v>202</v>
      </c>
      <c r="L15" s="6" t="s">
        <v>215</v>
      </c>
    </row>
    <row r="16" spans="1:12" x14ac:dyDescent="0.3">
      <c r="A16" s="6" t="s">
        <v>203</v>
      </c>
      <c r="L16" s="6" t="s">
        <v>216</v>
      </c>
    </row>
    <row r="17" spans="1:18" x14ac:dyDescent="0.3">
      <c r="A17" s="6" t="s">
        <v>28</v>
      </c>
      <c r="L17" s="6" t="s">
        <v>217</v>
      </c>
    </row>
    <row r="18" spans="1:18" x14ac:dyDescent="0.3">
      <c r="A18" s="6" t="s">
        <v>29</v>
      </c>
      <c r="L18" s="6" t="s">
        <v>28</v>
      </c>
    </row>
    <row r="19" spans="1:18" x14ac:dyDescent="0.3">
      <c r="A19" s="5"/>
      <c r="L19" s="6" t="s">
        <v>29</v>
      </c>
    </row>
    <row r="20" spans="1:18" x14ac:dyDescent="0.3">
      <c r="A20" s="6" t="s">
        <v>204</v>
      </c>
      <c r="L20" s="5"/>
    </row>
    <row r="21" spans="1:18" x14ac:dyDescent="0.3">
      <c r="A21" s="5"/>
      <c r="L21" s="6" t="s">
        <v>218</v>
      </c>
      <c r="R21" t="s">
        <v>220</v>
      </c>
    </row>
    <row r="22" spans="1:18" x14ac:dyDescent="0.3">
      <c r="A22" s="6" t="s">
        <v>205</v>
      </c>
      <c r="L22" s="5"/>
    </row>
    <row r="23" spans="1:18" x14ac:dyDescent="0.3">
      <c r="A23" s="6" t="s">
        <v>206</v>
      </c>
      <c r="L23" s="6" t="s">
        <v>205</v>
      </c>
    </row>
    <row r="24" spans="1:18" x14ac:dyDescent="0.3">
      <c r="A24" s="6" t="s">
        <v>207</v>
      </c>
      <c r="L24" s="6" t="s">
        <v>206</v>
      </c>
    </row>
    <row r="25" spans="1:18" x14ac:dyDescent="0.3">
      <c r="A25" s="5"/>
      <c r="L25" s="6" t="s">
        <v>219</v>
      </c>
    </row>
    <row r="26" spans="1:18" x14ac:dyDescent="0.3">
      <c r="A26" s="6" t="s">
        <v>208</v>
      </c>
      <c r="L26" s="5"/>
    </row>
    <row r="27" spans="1:18" x14ac:dyDescent="0.3">
      <c r="L27" s="6" t="s">
        <v>208</v>
      </c>
    </row>
    <row r="59" spans="12:12" x14ac:dyDescent="0.3">
      <c r="L59" s="3" t="s">
        <v>221</v>
      </c>
    </row>
    <row r="60" spans="12:12" x14ac:dyDescent="0.3">
      <c r="L60" s="4" t="s">
        <v>222</v>
      </c>
    </row>
    <row r="61" spans="12:12" x14ac:dyDescent="0.3">
      <c r="L61" s="2"/>
    </row>
    <row r="62" spans="12:12" x14ac:dyDescent="0.3">
      <c r="L62" s="4" t="s">
        <v>223</v>
      </c>
    </row>
    <row r="63" spans="12:12" x14ac:dyDescent="0.3">
      <c r="L63" s="2"/>
    </row>
    <row r="64" spans="12:12" x14ac:dyDescent="0.3">
      <c r="L64" s="4" t="s">
        <v>224</v>
      </c>
    </row>
    <row r="65" spans="12:12" x14ac:dyDescent="0.3">
      <c r="L65" s="2"/>
    </row>
    <row r="66" spans="12:12" x14ac:dyDescent="0.3">
      <c r="L66" s="4" t="s">
        <v>225</v>
      </c>
    </row>
    <row r="67" spans="12:12" x14ac:dyDescent="0.3">
      <c r="L67" s="2"/>
    </row>
    <row r="68" spans="12:12" x14ac:dyDescent="0.3">
      <c r="L68" s="2"/>
    </row>
    <row r="69" spans="12:12" x14ac:dyDescent="0.3">
      <c r="L69" s="4" t="s">
        <v>226</v>
      </c>
    </row>
    <row r="70" spans="12:12" x14ac:dyDescent="0.3">
      <c r="L70" s="4" t="s">
        <v>227</v>
      </c>
    </row>
    <row r="71" spans="12:12" x14ac:dyDescent="0.3">
      <c r="L71" s="4" t="s">
        <v>228</v>
      </c>
    </row>
    <row r="72" spans="12:12" x14ac:dyDescent="0.3">
      <c r="L72" s="4" t="s">
        <v>28</v>
      </c>
    </row>
    <row r="73" spans="12:12" x14ac:dyDescent="0.3">
      <c r="L73" s="6" t="s">
        <v>29</v>
      </c>
    </row>
    <row r="76" spans="12:12" x14ac:dyDescent="0.3">
      <c r="L76" s="3" t="s">
        <v>230</v>
      </c>
    </row>
    <row r="77" spans="12:12" x14ac:dyDescent="0.3">
      <c r="L77" s="10" t="s">
        <v>231</v>
      </c>
    </row>
    <row r="78" spans="12:12" x14ac:dyDescent="0.3">
      <c r="L78" s="6" t="s">
        <v>232</v>
      </c>
    </row>
    <row r="79" spans="12:12" x14ac:dyDescent="0.3">
      <c r="L79" s="6" t="s">
        <v>233</v>
      </c>
    </row>
    <row r="80" spans="12:12" x14ac:dyDescent="0.3">
      <c r="L80" s="6" t="s">
        <v>234</v>
      </c>
    </row>
    <row r="81" spans="12:12" x14ac:dyDescent="0.3">
      <c r="L81" s="6" t="s">
        <v>235</v>
      </c>
    </row>
    <row r="82" spans="12:12" x14ac:dyDescent="0.3">
      <c r="L82" s="6" t="s">
        <v>236</v>
      </c>
    </row>
    <row r="83" spans="12:12" x14ac:dyDescent="0.3">
      <c r="L83" s="6" t="s">
        <v>237</v>
      </c>
    </row>
    <row r="84" spans="12:12" x14ac:dyDescent="0.3">
      <c r="L84" s="6" t="s">
        <v>238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8460-3824-4933-BC82-5A4F18B1E308}">
  <dimension ref="A1:A63"/>
  <sheetViews>
    <sheetView topLeftCell="A37" workbookViewId="0">
      <selection activeCell="A51" sqref="A51"/>
    </sheetView>
  </sheetViews>
  <sheetFormatPr baseColWidth="10" defaultRowHeight="14.4" x14ac:dyDescent="0.3"/>
  <sheetData>
    <row r="1" spans="1:1" x14ac:dyDescent="0.3">
      <c r="A1" t="s">
        <v>243</v>
      </c>
    </row>
    <row r="2" spans="1:1" x14ac:dyDescent="0.3">
      <c r="A2" t="s">
        <v>100</v>
      </c>
    </row>
    <row r="4" spans="1:1" x14ac:dyDescent="0.3">
      <c r="A4" s="3" t="s">
        <v>244</v>
      </c>
    </row>
    <row r="5" spans="1:1" x14ac:dyDescent="0.3">
      <c r="A5" s="10" t="s">
        <v>245</v>
      </c>
    </row>
    <row r="6" spans="1:1" x14ac:dyDescent="0.3">
      <c r="A6" s="10" t="s">
        <v>246</v>
      </c>
    </row>
    <row r="7" spans="1:1" x14ac:dyDescent="0.3">
      <c r="A7" s="10" t="s">
        <v>247</v>
      </c>
    </row>
    <row r="39" spans="1:1" x14ac:dyDescent="0.3">
      <c r="A39" s="3" t="s">
        <v>248</v>
      </c>
    </row>
    <row r="40" spans="1:1" x14ac:dyDescent="0.3">
      <c r="A40" s="4" t="s">
        <v>249</v>
      </c>
    </row>
    <row r="41" spans="1:1" x14ac:dyDescent="0.3">
      <c r="A41" s="2"/>
    </row>
    <row r="42" spans="1:1" x14ac:dyDescent="0.3">
      <c r="A42" s="4" t="s">
        <v>250</v>
      </c>
    </row>
    <row r="43" spans="1:1" x14ac:dyDescent="0.3">
      <c r="A43" s="4" t="s">
        <v>251</v>
      </c>
    </row>
    <row r="44" spans="1:1" x14ac:dyDescent="0.3">
      <c r="A44" s="4" t="s">
        <v>252</v>
      </c>
    </row>
    <row r="45" spans="1:1" x14ac:dyDescent="0.3">
      <c r="A45" s="4" t="s">
        <v>253</v>
      </c>
    </row>
    <row r="46" spans="1:1" x14ac:dyDescent="0.3">
      <c r="A46" s="6" t="s">
        <v>28</v>
      </c>
    </row>
    <row r="48" spans="1:1" x14ac:dyDescent="0.3">
      <c r="A48" s="3" t="s">
        <v>255</v>
      </c>
    </row>
    <row r="49" spans="1:1" x14ac:dyDescent="0.3">
      <c r="A49" s="4" t="s">
        <v>181</v>
      </c>
    </row>
    <row r="50" spans="1:1" x14ac:dyDescent="0.3">
      <c r="A50" s="4" t="s">
        <v>256</v>
      </c>
    </row>
    <row r="51" spans="1:1" x14ac:dyDescent="0.3">
      <c r="A51" s="4" t="s">
        <v>257</v>
      </c>
    </row>
    <row r="52" spans="1:1" x14ac:dyDescent="0.3">
      <c r="A52" s="4" t="s">
        <v>258</v>
      </c>
    </row>
    <row r="53" spans="1:1" x14ac:dyDescent="0.3">
      <c r="A53" s="4" t="s">
        <v>259</v>
      </c>
    </row>
    <row r="54" spans="1:1" x14ac:dyDescent="0.3">
      <c r="A54" s="2"/>
    </row>
    <row r="55" spans="1:1" x14ac:dyDescent="0.3">
      <c r="A55" s="4" t="s">
        <v>123</v>
      </c>
    </row>
    <row r="56" spans="1:1" x14ac:dyDescent="0.3">
      <c r="A56" s="10" t="s">
        <v>260</v>
      </c>
    </row>
    <row r="57" spans="1:1" x14ac:dyDescent="0.3">
      <c r="A57" s="6" t="s">
        <v>261</v>
      </c>
    </row>
    <row r="58" spans="1:1" x14ac:dyDescent="0.3">
      <c r="A58" s="6" t="s">
        <v>262</v>
      </c>
    </row>
    <row r="59" spans="1:1" x14ac:dyDescent="0.3">
      <c r="A59" s="6" t="s">
        <v>263</v>
      </c>
    </row>
    <row r="60" spans="1:1" x14ac:dyDescent="0.3">
      <c r="A60" s="6" t="s">
        <v>264</v>
      </c>
    </row>
    <row r="61" spans="1:1" x14ac:dyDescent="0.3">
      <c r="A61" s="6" t="s">
        <v>265</v>
      </c>
    </row>
    <row r="62" spans="1:1" x14ac:dyDescent="0.3">
      <c r="A62" s="6" t="s">
        <v>266</v>
      </c>
    </row>
    <row r="63" spans="1:1" x14ac:dyDescent="0.3">
      <c r="A63" s="6" t="s">
        <v>267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5"/>
  <sheetViews>
    <sheetView topLeftCell="A16" zoomScaleNormal="100" workbookViewId="0">
      <selection activeCell="A52" sqref="A52:D52"/>
    </sheetView>
  </sheetViews>
  <sheetFormatPr baseColWidth="10" defaultRowHeight="14.4" x14ac:dyDescent="0.3"/>
  <sheetData>
    <row r="1" spans="1:1" x14ac:dyDescent="0.3">
      <c r="A1" t="s">
        <v>35</v>
      </c>
    </row>
    <row r="3" spans="1:1" x14ac:dyDescent="0.3">
      <c r="A3" t="s">
        <v>31</v>
      </c>
    </row>
    <row r="4" spans="1:1" x14ac:dyDescent="0.3">
      <c r="A4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8" spans="1:1" x14ac:dyDescent="0.3">
      <c r="A8" s="3" t="s">
        <v>36</v>
      </c>
    </row>
    <row r="9" spans="1:1" x14ac:dyDescent="0.3">
      <c r="A9" s="4" t="s">
        <v>37</v>
      </c>
    </row>
    <row r="10" spans="1:1" x14ac:dyDescent="0.3">
      <c r="A10" s="2"/>
    </row>
    <row r="11" spans="1:1" x14ac:dyDescent="0.3">
      <c r="A11" s="4" t="s">
        <v>38</v>
      </c>
    </row>
    <row r="12" spans="1:1" x14ac:dyDescent="0.3">
      <c r="A12" s="4" t="s">
        <v>39</v>
      </c>
    </row>
    <row r="13" spans="1:1" x14ac:dyDescent="0.3">
      <c r="A13" s="4" t="s">
        <v>40</v>
      </c>
    </row>
    <row r="14" spans="1:1" x14ac:dyDescent="0.3">
      <c r="A14" s="4" t="s">
        <v>41</v>
      </c>
    </row>
    <row r="15" spans="1:1" x14ac:dyDescent="0.3">
      <c r="A15" s="6" t="s">
        <v>28</v>
      </c>
    </row>
    <row r="47" spans="1:1" x14ac:dyDescent="0.3">
      <c r="A47" s="3" t="s">
        <v>50</v>
      </c>
    </row>
    <row r="48" spans="1:1" x14ac:dyDescent="0.3">
      <c r="A48" s="3" t="s">
        <v>51</v>
      </c>
    </row>
    <row r="49" spans="1:1" x14ac:dyDescent="0.3">
      <c r="A49" s="4" t="s">
        <v>43</v>
      </c>
    </row>
    <row r="50" spans="1:1" x14ac:dyDescent="0.3">
      <c r="A50" s="4" t="s">
        <v>44</v>
      </c>
    </row>
    <row r="51" spans="1:1" x14ac:dyDescent="0.3">
      <c r="A51" s="4" t="s">
        <v>45</v>
      </c>
    </row>
    <row r="52" spans="1:1" x14ac:dyDescent="0.3">
      <c r="A52" s="4" t="s">
        <v>46</v>
      </c>
    </row>
    <row r="53" spans="1:1" x14ac:dyDescent="0.3">
      <c r="A53" s="4" t="s">
        <v>47</v>
      </c>
    </row>
    <row r="54" spans="1:1" x14ac:dyDescent="0.3">
      <c r="A54" s="4" t="s">
        <v>48</v>
      </c>
    </row>
    <row r="55" spans="1:1" x14ac:dyDescent="0.3">
      <c r="A55" s="6" t="s">
        <v>49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4"/>
  <sheetViews>
    <sheetView workbookViewId="0">
      <selection activeCell="C45" sqref="C45"/>
    </sheetView>
  </sheetViews>
  <sheetFormatPr baseColWidth="10" defaultRowHeight="14.4" x14ac:dyDescent="0.3"/>
  <sheetData>
    <row r="1" spans="1:1" x14ac:dyDescent="0.3">
      <c r="A1" s="3" t="s">
        <v>60</v>
      </c>
    </row>
    <row r="2" spans="1:1" x14ac:dyDescent="0.3">
      <c r="A2" s="10" t="s">
        <v>61</v>
      </c>
    </row>
    <row r="3" spans="1:1" x14ac:dyDescent="0.3">
      <c r="A3" s="6" t="s">
        <v>62</v>
      </c>
    </row>
    <row r="4" spans="1:1" x14ac:dyDescent="0.3">
      <c r="A4" s="5"/>
    </row>
    <row r="5" spans="1:1" x14ac:dyDescent="0.3">
      <c r="A5" s="6" t="s">
        <v>63</v>
      </c>
    </row>
    <row r="6" spans="1:1" x14ac:dyDescent="0.3">
      <c r="A6" s="6" t="s">
        <v>64</v>
      </c>
    </row>
    <row r="7" spans="1:1" x14ac:dyDescent="0.3">
      <c r="A7" s="5"/>
    </row>
    <row r="8" spans="1:1" x14ac:dyDescent="0.3">
      <c r="A8" s="6" t="s">
        <v>65</v>
      </c>
    </row>
    <row r="9" spans="1:1" x14ac:dyDescent="0.3">
      <c r="A9" s="6" t="s">
        <v>66</v>
      </c>
    </row>
    <row r="10" spans="1:1" x14ac:dyDescent="0.3">
      <c r="A10" s="5"/>
    </row>
    <row r="11" spans="1:1" x14ac:dyDescent="0.3">
      <c r="A11" s="6" t="s">
        <v>67</v>
      </c>
    </row>
    <row r="12" spans="1:1" x14ac:dyDescent="0.3">
      <c r="A12" s="6" t="s">
        <v>68</v>
      </c>
    </row>
    <row r="13" spans="1:1" x14ac:dyDescent="0.3">
      <c r="A13" s="6" t="s">
        <v>69</v>
      </c>
    </row>
    <row r="14" spans="1:1" x14ac:dyDescent="0.3">
      <c r="A14" s="6" t="s">
        <v>70</v>
      </c>
    </row>
    <row r="15" spans="1:1" x14ac:dyDescent="0.3">
      <c r="A15" s="5"/>
    </row>
    <row r="16" spans="1:1" x14ac:dyDescent="0.3">
      <c r="A16" s="6" t="s">
        <v>71</v>
      </c>
    </row>
    <row r="17" spans="1:1" x14ac:dyDescent="0.3">
      <c r="A17" s="6" t="s">
        <v>72</v>
      </c>
    </row>
    <row r="18" spans="1:1" x14ac:dyDescent="0.3">
      <c r="A18" s="6" t="s">
        <v>73</v>
      </c>
    </row>
    <row r="19" spans="1:1" x14ac:dyDescent="0.3">
      <c r="A19" s="6" t="s">
        <v>74</v>
      </c>
    </row>
    <row r="20" spans="1:1" x14ac:dyDescent="0.3">
      <c r="A20" s="6" t="s">
        <v>75</v>
      </c>
    </row>
    <row r="21" spans="1:1" x14ac:dyDescent="0.3">
      <c r="A21" s="6" t="s">
        <v>28</v>
      </c>
    </row>
    <row r="22" spans="1:1" x14ac:dyDescent="0.3">
      <c r="A22" s="6" t="s">
        <v>29</v>
      </c>
    </row>
    <row r="23" spans="1:1" x14ac:dyDescent="0.3">
      <c r="A23" s="5"/>
    </row>
    <row r="24" spans="1:1" x14ac:dyDescent="0.3">
      <c r="A24" s="6" t="s">
        <v>76</v>
      </c>
    </row>
    <row r="25" spans="1:1" x14ac:dyDescent="0.3">
      <c r="A25" s="6" t="s">
        <v>77</v>
      </c>
    </row>
    <row r="26" spans="1:1" x14ac:dyDescent="0.3">
      <c r="A26" s="6" t="s">
        <v>78</v>
      </c>
    </row>
    <row r="27" spans="1:1" x14ac:dyDescent="0.3">
      <c r="A27" s="6" t="s">
        <v>79</v>
      </c>
    </row>
    <row r="28" spans="1:1" x14ac:dyDescent="0.3">
      <c r="A28" s="6" t="s">
        <v>80</v>
      </c>
    </row>
    <row r="29" spans="1:1" x14ac:dyDescent="0.3">
      <c r="A29" s="6" t="s">
        <v>81</v>
      </c>
    </row>
    <row r="30" spans="1:1" x14ac:dyDescent="0.3">
      <c r="A30" s="10" t="s">
        <v>82</v>
      </c>
    </row>
    <row r="31" spans="1:1" x14ac:dyDescent="0.3">
      <c r="A31" s="6" t="s">
        <v>83</v>
      </c>
    </row>
    <row r="32" spans="1:1" x14ac:dyDescent="0.3">
      <c r="A32" s="5"/>
    </row>
    <row r="33" spans="1:1" x14ac:dyDescent="0.3">
      <c r="A33" s="6" t="s">
        <v>84</v>
      </c>
    </row>
    <row r="34" spans="1:1" x14ac:dyDescent="0.3">
      <c r="A34" s="6" t="s">
        <v>85</v>
      </c>
    </row>
    <row r="35" spans="1:1" x14ac:dyDescent="0.3">
      <c r="A35" s="6" t="s">
        <v>86</v>
      </c>
    </row>
    <row r="37" spans="1:1" x14ac:dyDescent="0.3">
      <c r="A37" s="3" t="s">
        <v>318</v>
      </c>
    </row>
    <row r="38" spans="1:1" x14ac:dyDescent="0.3">
      <c r="A38" s="4" t="s">
        <v>116</v>
      </c>
    </row>
    <row r="39" spans="1:1" x14ac:dyDescent="0.3">
      <c r="A39" s="4" t="s">
        <v>319</v>
      </c>
    </row>
    <row r="40" spans="1:1" x14ac:dyDescent="0.3">
      <c r="A40" s="4" t="s">
        <v>320</v>
      </c>
    </row>
    <row r="41" spans="1:1" x14ac:dyDescent="0.3">
      <c r="A41" s="4" t="s">
        <v>321</v>
      </c>
    </row>
    <row r="42" spans="1:1" x14ac:dyDescent="0.3">
      <c r="A42" s="4" t="s">
        <v>322</v>
      </c>
    </row>
    <row r="43" spans="1:1" x14ac:dyDescent="0.3">
      <c r="A43" s="4" t="s">
        <v>323</v>
      </c>
    </row>
    <row r="44" spans="1:1" x14ac:dyDescent="0.3">
      <c r="A44" s="2"/>
    </row>
    <row r="45" spans="1:1" x14ac:dyDescent="0.3">
      <c r="A45" s="4" t="s">
        <v>123</v>
      </c>
    </row>
    <row r="46" spans="1:1" x14ac:dyDescent="0.3">
      <c r="A46" s="2"/>
    </row>
    <row r="47" spans="1:1" x14ac:dyDescent="0.3">
      <c r="A47" s="4" t="s">
        <v>124</v>
      </c>
    </row>
    <row r="48" spans="1:1" x14ac:dyDescent="0.3">
      <c r="A48" s="4" t="s">
        <v>324</v>
      </c>
    </row>
    <row r="49" spans="1:1" x14ac:dyDescent="0.3">
      <c r="A49" s="4" t="s">
        <v>325</v>
      </c>
    </row>
    <row r="50" spans="1:1" x14ac:dyDescent="0.3">
      <c r="A50" s="4" t="s">
        <v>326</v>
      </c>
    </row>
    <row r="51" spans="1:1" x14ac:dyDescent="0.3">
      <c r="A51" s="4" t="s">
        <v>327</v>
      </c>
    </row>
    <row r="52" spans="1:1" x14ac:dyDescent="0.3">
      <c r="A52" s="4" t="s">
        <v>328</v>
      </c>
    </row>
    <row r="53" spans="1:1" x14ac:dyDescent="0.3">
      <c r="A53" s="4" t="s">
        <v>329</v>
      </c>
    </row>
    <row r="54" spans="1:1" x14ac:dyDescent="0.3">
      <c r="A54" s="6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result_str_treelayer</vt:lpstr>
      <vt:lpstr>Transformaciones</vt:lpstr>
      <vt:lpstr>Tabla</vt:lpstr>
      <vt:lpstr>Tabla_EuGl</vt:lpstr>
      <vt:lpstr>Basal area</vt:lpstr>
      <vt:lpstr>Tree density</vt:lpstr>
      <vt:lpstr>ProprorEg</vt:lpstr>
      <vt:lpstr>DBH</vt:lpstr>
      <vt:lpstr>Richness</vt:lpstr>
      <vt:lpstr>Shannon</vt:lpstr>
      <vt:lpstr>tree_heigh</vt:lpstr>
      <vt:lpstr>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Castro Díez M. Pilar</cp:lastModifiedBy>
  <dcterms:created xsi:type="dcterms:W3CDTF">2026-05-18T07:41:15Z</dcterms:created>
  <dcterms:modified xsi:type="dcterms:W3CDTF">2026-05-25T10:37:40Z</dcterms:modified>
</cp:coreProperties>
</file>